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workbookPassword="DF09" lockStructure="1"/>
  <bookViews>
    <workbookView xWindow="-15" yWindow="4800" windowWidth="23070" windowHeight="4845"/>
  </bookViews>
  <sheets>
    <sheet name="Attendance Shee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3" i="1"/>
  <c r="E3" i="1" s="1"/>
  <c r="G3" i="1" l="1"/>
  <c r="K3" i="1" l="1"/>
  <c r="I3" i="1"/>
  <c r="O4" i="1"/>
  <c r="O5" i="1"/>
  <c r="O6" i="1"/>
  <c r="O7" i="1"/>
  <c r="O8" i="1"/>
  <c r="O9" i="1"/>
  <c r="O10" i="1"/>
  <c r="O11" i="1"/>
  <c r="R11" i="1" s="1"/>
  <c r="O12" i="1"/>
  <c r="O13" i="1"/>
  <c r="O14" i="1"/>
  <c r="O15" i="1"/>
  <c r="O16" i="1"/>
  <c r="R16" i="1" s="1"/>
  <c r="O17" i="1"/>
  <c r="O18" i="1"/>
  <c r="P15" i="1" l="1"/>
  <c r="Q15" i="1" s="1"/>
  <c r="R15" i="1"/>
  <c r="S15" i="1" s="1"/>
  <c r="P7" i="1"/>
  <c r="R7" i="1"/>
  <c r="Q18" i="1"/>
  <c r="R18" i="1"/>
  <c r="P18" i="1"/>
  <c r="P14" i="1"/>
  <c r="Q14" i="1" s="1"/>
  <c r="R14" i="1"/>
  <c r="S10" i="1"/>
  <c r="R10" i="1"/>
  <c r="P10" i="1"/>
  <c r="R6" i="1"/>
  <c r="S6" i="1" s="1"/>
  <c r="P6" i="1"/>
  <c r="R17" i="1"/>
  <c r="P17" i="1"/>
  <c r="Q17" i="1" s="1"/>
  <c r="P13" i="1"/>
  <c r="Q13" i="1" s="1"/>
  <c r="R9" i="1"/>
  <c r="S9" i="1" s="1"/>
  <c r="P9" i="1"/>
  <c r="Q9" i="1" s="1"/>
  <c r="R5" i="1"/>
  <c r="P5" i="1"/>
  <c r="R12" i="1"/>
  <c r="P12" i="1"/>
  <c r="Q12" i="1" s="1"/>
  <c r="P8" i="1"/>
  <c r="R8" i="1"/>
  <c r="S8" i="1" s="1"/>
  <c r="P4" i="1"/>
  <c r="Q4" i="1" s="1"/>
  <c r="R4" i="1"/>
  <c r="Q7" i="1"/>
  <c r="S4" i="1"/>
  <c r="S18" i="1"/>
  <c r="Q10" i="1"/>
  <c r="Q8" i="1"/>
  <c r="S17" i="1"/>
  <c r="S5" i="1"/>
  <c r="R13" i="1" l="1"/>
  <c r="S13" i="1" s="1"/>
  <c r="Q5" i="1"/>
  <c r="Q6" i="1"/>
  <c r="S7" i="1"/>
  <c r="S14" i="1"/>
  <c r="S12" i="1"/>
  <c r="P11" i="1"/>
  <c r="P16" i="1"/>
  <c r="G1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H15" i="1" l="1"/>
  <c r="I15" i="1"/>
  <c r="K15" i="1" s="1"/>
  <c r="H11" i="1"/>
  <c r="I11" i="1"/>
  <c r="J11" i="1" s="1"/>
  <c r="K11" i="1"/>
  <c r="H7" i="1"/>
  <c r="I7" i="1"/>
  <c r="J7" i="1" s="1"/>
  <c r="K7" i="1"/>
  <c r="H18" i="1"/>
  <c r="I18" i="1"/>
  <c r="K18" i="1" s="1"/>
  <c r="H14" i="1"/>
  <c r="I14" i="1"/>
  <c r="J14" i="1" s="1"/>
  <c r="K14" i="1"/>
  <c r="L14" i="1" s="1"/>
  <c r="H10" i="1"/>
  <c r="I10" i="1"/>
  <c r="J10" i="1" s="1"/>
  <c r="K10" i="1"/>
  <c r="H6" i="1"/>
  <c r="I6" i="1"/>
  <c r="K6" i="1" s="1"/>
  <c r="H17" i="1"/>
  <c r="I17" i="1"/>
  <c r="K17" i="1" s="1"/>
  <c r="H13" i="1"/>
  <c r="K13" i="1"/>
  <c r="I13" i="1"/>
  <c r="J13" i="1" s="1"/>
  <c r="H9" i="1"/>
  <c r="I9" i="1"/>
  <c r="K9" i="1" s="1"/>
  <c r="H5" i="1"/>
  <c r="K5" i="1"/>
  <c r="I5" i="1"/>
  <c r="J5" i="1" s="1"/>
  <c r="H16" i="1"/>
  <c r="I16" i="1"/>
  <c r="J16" i="1" s="1"/>
  <c r="H12" i="1"/>
  <c r="I12" i="1"/>
  <c r="K12" i="1" s="1"/>
  <c r="H8" i="1"/>
  <c r="K8" i="1"/>
  <c r="I8" i="1"/>
  <c r="J8" i="1" s="1"/>
  <c r="H4" i="1"/>
  <c r="K4" i="1"/>
  <c r="I4" i="1"/>
  <c r="J4" i="1" s="1"/>
  <c r="S11" i="1"/>
  <c r="Q11" i="1"/>
  <c r="S16" i="1"/>
  <c r="Q16" i="1"/>
  <c r="O3" i="1"/>
  <c r="K16" i="1" l="1"/>
  <c r="L16" i="1" s="1"/>
  <c r="J12" i="1"/>
  <c r="J15" i="1"/>
  <c r="P3" i="1"/>
  <c r="R3" i="1"/>
  <c r="S3" i="1" s="1"/>
  <c r="L13" i="1"/>
  <c r="L15" i="1"/>
  <c r="L12" i="1"/>
  <c r="L10" i="1"/>
  <c r="L4" i="1"/>
  <c r="J17" i="1"/>
  <c r="L7" i="1"/>
  <c r="L11" i="1"/>
  <c r="L8" i="1"/>
  <c r="L5" i="1"/>
  <c r="Q3" i="1" l="1"/>
  <c r="J9" i="1"/>
  <c r="L17" i="1"/>
  <c r="H3" i="1"/>
  <c r="J3" i="1"/>
  <c r="J6" i="1" l="1"/>
  <c r="L6" i="1"/>
  <c r="L9" i="1"/>
  <c r="L3" i="1"/>
  <c r="B24" i="1" a="1"/>
  <c r="B24" i="1" s="1"/>
  <c r="J18" i="1" l="1"/>
  <c r="B25" i="1" l="1" a="1"/>
  <c r="B25" i="1" s="1"/>
  <c r="E25" i="1" s="1"/>
  <c r="L18" i="1"/>
  <c r="C25" i="1" l="1"/>
  <c r="B26" i="1" a="1"/>
  <c r="B26" i="1" s="1"/>
  <c r="C26" i="1" s="1"/>
  <c r="C24" i="1"/>
  <c r="E24" i="1"/>
  <c r="B27" i="1" l="1" a="1"/>
  <c r="B27" i="1" s="1"/>
  <c r="B28" i="1" s="1" a="1"/>
  <c r="B28" i="1" s="1"/>
  <c r="E26" i="1"/>
  <c r="E27" i="1" l="1"/>
  <c r="C27" i="1"/>
  <c r="B29" i="1" a="1"/>
  <c r="B29" i="1" s="1"/>
  <c r="C28" i="1"/>
  <c r="E28" i="1"/>
  <c r="B30" i="1" l="1" a="1"/>
  <c r="B30" i="1" s="1"/>
  <c r="C29" i="1"/>
  <c r="E29" i="1"/>
  <c r="B31" i="1" l="1" a="1"/>
  <c r="B31" i="1" s="1"/>
  <c r="C30" i="1"/>
  <c r="E30" i="1"/>
  <c r="E31" i="1" l="1"/>
  <c r="C31" i="1"/>
  <c r="B32" i="1" a="1"/>
  <c r="B32" i="1" s="1"/>
  <c r="C32" i="1" s="1"/>
  <c r="E32" i="1" l="1"/>
  <c r="B33" i="1" a="1"/>
  <c r="B33" i="1" s="1"/>
  <c r="E33" i="1" l="1"/>
  <c r="C33" i="1"/>
  <c r="B34" i="1" a="1"/>
  <c r="B34" i="1" s="1"/>
  <c r="C34" i="1" s="1"/>
  <c r="B35" i="1" l="1" a="1"/>
  <c r="B35" i="1" s="1"/>
  <c r="E34" i="1"/>
  <c r="E35" i="1" l="1"/>
  <c r="C35" i="1"/>
  <c r="B36" i="1" a="1"/>
  <c r="B36" i="1" s="1"/>
  <c r="C36" i="1" s="1"/>
  <c r="B37" i="1" l="1" a="1"/>
  <c r="B37" i="1" s="1"/>
  <c r="C37" i="1" s="1"/>
  <c r="E36" i="1"/>
  <c r="B38" i="1" l="1" a="1"/>
  <c r="B38" i="1" s="1"/>
  <c r="E37" i="1"/>
  <c r="E38" i="1" l="1"/>
  <c r="C38" i="1"/>
  <c r="B39" i="1" a="1"/>
  <c r="B39" i="1" s="1"/>
  <c r="C39" i="1" s="1"/>
  <c r="E39" i="1" l="1"/>
  <c r="B40" i="1" a="1"/>
  <c r="B40" i="1" s="1"/>
  <c r="E40" i="1" l="1"/>
  <c r="C40" i="1"/>
  <c r="B41" i="1" a="1"/>
  <c r="B41" i="1" s="1"/>
  <c r="C41" i="1" s="1"/>
  <c r="B42" i="1" l="1" a="1"/>
  <c r="B42" i="1" s="1"/>
  <c r="B43" i="1" s="1" a="1"/>
  <c r="B43" i="1" s="1"/>
  <c r="C43" i="1" s="1"/>
  <c r="E41" i="1"/>
  <c r="E42" i="1" l="1"/>
  <c r="C42" i="1"/>
  <c r="B44" i="1" a="1"/>
  <c r="B44" i="1" s="1"/>
  <c r="C44" i="1" s="1"/>
  <c r="E43" i="1"/>
  <c r="B45" i="1" l="1" a="1"/>
  <c r="B45" i="1" s="1"/>
  <c r="B46" i="1" s="1" a="1"/>
  <c r="B46" i="1" s="1"/>
  <c r="E44" i="1"/>
  <c r="E46" i="1" l="1"/>
  <c r="C46" i="1"/>
  <c r="E45" i="1"/>
  <c r="C45" i="1"/>
  <c r="B47" i="1" a="1"/>
  <c r="B47" i="1" s="1"/>
  <c r="C47" i="1" s="1"/>
  <c r="B48" i="1" l="1" a="1"/>
  <c r="B48" i="1" s="1"/>
  <c r="E47" i="1"/>
  <c r="E48" i="1" l="1"/>
  <c r="C48" i="1"/>
  <c r="B49" i="1" a="1"/>
  <c r="B49" i="1" s="1"/>
  <c r="E49" i="1" l="1"/>
  <c r="C49" i="1"/>
  <c r="B50" i="1" a="1"/>
  <c r="B50" i="1" s="1"/>
  <c r="C50" i="1" s="1"/>
  <c r="B51" i="1" l="1" a="1"/>
  <c r="B51" i="1" s="1"/>
  <c r="E50" i="1"/>
  <c r="E51" i="1" l="1"/>
  <c r="C51" i="1"/>
</calcChain>
</file>

<file path=xl/sharedStrings.xml><?xml version="1.0" encoding="utf-8"?>
<sst xmlns="http://schemas.openxmlformats.org/spreadsheetml/2006/main" count="98" uniqueCount="85">
  <si>
    <t>Note:</t>
  </si>
  <si>
    <t>- Do not change the format of this sheet</t>
  </si>
  <si>
    <t>- Do not delete rows, just replace the date with the cut-off date needed</t>
  </si>
  <si>
    <t>- Do not copy and paste your time data, it will ruin the format of the cell</t>
  </si>
  <si>
    <t>CUT-OFF DATE</t>
  </si>
  <si>
    <t>TICK IF
HALF DAY</t>
  </si>
  <si>
    <t>TOTAL
O.T. HOURS</t>
  </si>
  <si>
    <t>VPI
HOURS</t>
  </si>
  <si>
    <t>WORK DAY TYPE</t>
  </si>
  <si>
    <t>LEGAL</t>
  </si>
  <si>
    <t>SPECIAL</t>
  </si>
  <si>
    <t>REGULAR WORK</t>
  </si>
  <si>
    <t>VPI
Shift Code</t>
  </si>
  <si>
    <t>REST DAY</t>
  </si>
  <si>
    <t>LEGAL + REST DAY</t>
  </si>
  <si>
    <t>SPECIAL + REST DAY</t>
  </si>
  <si>
    <t>WORK (0-8HRS)
TIME IN</t>
  </si>
  <si>
    <t>WORK (0-8HRS)
TIME OUT</t>
  </si>
  <si>
    <t>O.T. (&gt;8HRS)
TIME IN</t>
  </si>
  <si>
    <t>O.T. (&gt;8HRS)
TIME OUT</t>
  </si>
  <si>
    <t>WORK DAY TYPE
(Select from List)</t>
  </si>
  <si>
    <t>TOTAL LOG
HOURS</t>
  </si>
  <si>
    <t>START OF
SHIFT</t>
  </si>
  <si>
    <t>Late
(MIN)</t>
  </si>
  <si>
    <t>HOURS</t>
  </si>
  <si>
    <t>VPI CODE</t>
  </si>
  <si>
    <t>DAY COUNT</t>
  </si>
  <si>
    <t>COMPUTATION SUMMARY</t>
  </si>
  <si>
    <t>Legend:</t>
  </si>
  <si>
    <t>6AM-10PM</t>
  </si>
  <si>
    <t>x</t>
  </si>
  <si>
    <t>Normal Working Days</t>
  </si>
  <si>
    <t>Rest Day Working</t>
  </si>
  <si>
    <t>Legal Holiday Working</t>
  </si>
  <si>
    <t>Legal Holiday Working + Rest day</t>
  </si>
  <si>
    <t>Special Holiday Working</t>
  </si>
  <si>
    <t>Special Holiday Working + Rest day</t>
  </si>
  <si>
    <t>:</t>
  </si>
  <si>
    <t>RDO</t>
  </si>
  <si>
    <t>HOT</t>
  </si>
  <si>
    <t>LRD</t>
  </si>
  <si>
    <t>SHO</t>
  </si>
  <si>
    <t>SPH</t>
  </si>
  <si>
    <t>N10</t>
  </si>
  <si>
    <t>RD1</t>
  </si>
  <si>
    <t>LOT</t>
  </si>
  <si>
    <t>L10</t>
  </si>
  <si>
    <t>S10</t>
  </si>
  <si>
    <t>SH1</t>
  </si>
  <si>
    <t>10PM-6AM</t>
  </si>
  <si>
    <t>0-8 HRS</t>
  </si>
  <si>
    <t>WORK</t>
  </si>
  <si>
    <t>OVERTIME WORK</t>
  </si>
  <si>
    <t>ROT</t>
  </si>
  <si>
    <t>RD8</t>
  </si>
  <si>
    <t>LO8</t>
  </si>
  <si>
    <t>LR8</t>
  </si>
  <si>
    <t>SH8</t>
  </si>
  <si>
    <t>SR8</t>
  </si>
  <si>
    <t>R10</t>
  </si>
  <si>
    <t>RN1</t>
  </si>
  <si>
    <t>LN1</t>
  </si>
  <si>
    <t>LE1</t>
  </si>
  <si>
    <t>SN1</t>
  </si>
  <si>
    <t>SP1</t>
  </si>
  <si>
    <t>VACATION LEAVE</t>
  </si>
  <si>
    <t>SICK LEAVE</t>
  </si>
  <si>
    <t>PATERNITY LEAVE</t>
  </si>
  <si>
    <t>MATERNITY LEAVE</t>
  </si>
  <si>
    <t>BEREAVEMENT LEAVE</t>
  </si>
  <si>
    <t>Monthly Report</t>
  </si>
  <si>
    <t>- Do not edit the GREEN column, just fill the white cells as applicable (Gray cells as optional)</t>
  </si>
  <si>
    <t>- Place all your OT log in the corresponding OT IN/OUT column (Column M and Column N respectively)</t>
  </si>
  <si>
    <t>- Time logs that are placed in the TIME IN/OUT are considered 0 to 8 hours work, no OT greater than 8 hrs will be regarded on this column</t>
  </si>
  <si>
    <t>- Select the appropriate Leave type in the WorkDay Type Column dropdown as applicable, place reason for Leave in Remarks column, leave other cells empty</t>
  </si>
  <si>
    <t>- Put your TIME IN/OUT in the correct column to prevent errors (Column D and Column E respectively), make sure the appropriate WorkDay Type is selected</t>
  </si>
  <si>
    <t>- For Saturdays and Sundays, make sure it is designated as RestDay if applicable on ordinary days, or make sure that the correct WORK DAY TYPE is selected as necessary</t>
  </si>
  <si>
    <t>- TIME OUT column (Column E) will automatically compute for the 9hrs/4hrs out, but you can override the data as necessary (doing so may delete the formula on that cell)</t>
  </si>
  <si>
    <t>This will automatically add an entry to the Monthly Report file.</t>
  </si>
  <si>
    <t>This will check for redundant resource data to prevent double entry.</t>
  </si>
  <si>
    <t>The needed month is automatically taken from the Monthly Report File Header Column B1</t>
  </si>
  <si>
    <t>This will automatically append summary VPI computation to the specified file.</t>
  </si>
  <si>
    <t>REMARKS / REASON FOR OVERTIME</t>
  </si>
  <si>
    <t>UHGCB Variable Inputs_MmmD-MmmDD</t>
  </si>
  <si>
    <t>VERSION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</si>
</sst>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hh:mm:ss\ AM/PM;@"/>
    <numFmt numFmtId="165" formatCode="[$-F400]h:mm:ss\ AM/PM"/>
    <numFmt numFmtId="166" formatCode="\(ddd\)\ d\-mmm\-yy"/>
    <numFmt numFmtId="167" formatCode=";;;"/>
    <numFmt numFmtId="168" formatCode="hh:mm\ AM/PM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9" tint="0.59999389629810485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3" xfId="0" applyFont="1" applyFill="1" applyBorder="1" applyProtection="1"/>
    <xf numFmtId="165" fontId="1" fillId="2" borderId="3" xfId="0" applyNumberFormat="1" applyFont="1" applyFill="1" applyBorder="1" applyAlignment="1" applyProtection="1">
      <alignment horizontal="center"/>
    </xf>
    <xf numFmtId="164" fontId="0" fillId="2" borderId="3" xfId="0" applyNumberFormat="1" applyFill="1" applyBorder="1" applyAlignment="1" applyProtection="1">
      <alignment horizontal="center"/>
    </xf>
    <xf numFmtId="0" fontId="0" fillId="2" borderId="3" xfId="0" applyFill="1" applyBorder="1" applyProtection="1"/>
    <xf numFmtId="0" fontId="0" fillId="4" borderId="3" xfId="0" applyFill="1" applyBorder="1" applyProtection="1"/>
    <xf numFmtId="0" fontId="2" fillId="4" borderId="3" xfId="0" applyFont="1" applyFill="1" applyBorder="1" applyProtection="1"/>
    <xf numFmtId="0" fontId="3" fillId="5" borderId="2" xfId="0" applyFont="1" applyFill="1" applyBorder="1" applyAlignment="1" applyProtection="1">
      <alignment horizontal="center"/>
    </xf>
    <xf numFmtId="0" fontId="3" fillId="5" borderId="2" xfId="0" applyFont="1" applyFill="1" applyBorder="1" applyAlignment="1" applyProtection="1">
      <alignment horizontal="center" wrapText="1"/>
    </xf>
    <xf numFmtId="164" fontId="3" fillId="5" borderId="2" xfId="0" applyNumberFormat="1" applyFont="1" applyFill="1" applyBorder="1" applyAlignment="1" applyProtection="1">
      <alignment horizontal="center" wrapText="1"/>
    </xf>
    <xf numFmtId="0" fontId="3" fillId="5" borderId="2" xfId="0" applyFont="1" applyFill="1" applyBorder="1" applyProtection="1"/>
    <xf numFmtId="0" fontId="0" fillId="4" borderId="0" xfId="0" applyFill="1" applyBorder="1" applyProtection="1"/>
    <xf numFmtId="0" fontId="2" fillId="4" borderId="0" xfId="0" applyFont="1" applyFill="1" applyBorder="1" applyProtection="1"/>
    <xf numFmtId="2" fontId="4" fillId="6" borderId="1" xfId="0" applyNumberFormat="1" applyFont="1" applyFill="1" applyBorder="1" applyAlignment="1" applyProtection="1">
      <alignment horizontal="center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2" fontId="4" fillId="3" borderId="1" xfId="0" applyNumberFormat="1" applyFont="1" applyFill="1" applyBorder="1" applyAlignment="1" applyProtection="1">
      <alignment horizontal="center"/>
    </xf>
    <xf numFmtId="0" fontId="4" fillId="3" borderId="1" xfId="0" applyNumberFormat="1" applyFont="1" applyFill="1" applyBorder="1" applyAlignment="1" applyProtection="1">
      <alignment horizontal="center"/>
    </xf>
    <xf numFmtId="15" fontId="3" fillId="3" borderId="5" xfId="0" applyNumberFormat="1" applyFont="1" applyFill="1" applyBorder="1" applyProtection="1"/>
    <xf numFmtId="167" fontId="3" fillId="3" borderId="5" xfId="0" applyNumberFormat="1" applyFont="1" applyFill="1" applyBorder="1" applyAlignment="1" applyProtection="1">
      <alignment horizontal="center"/>
    </xf>
    <xf numFmtId="0" fontId="3" fillId="3" borderId="5" xfId="0" applyNumberFormat="1" applyFont="1" applyFill="1" applyBorder="1" applyAlignment="1" applyProtection="1">
      <alignment horizontal="center"/>
    </xf>
    <xf numFmtId="167" fontId="3" fillId="3" borderId="5" xfId="0" applyNumberFormat="1" applyFont="1" applyFill="1" applyBorder="1" applyProtection="1"/>
    <xf numFmtId="0" fontId="3" fillId="4" borderId="0" xfId="0" applyFont="1" applyFill="1" applyBorder="1" applyAlignment="1" applyProtection="1">
      <alignment horizontal="right"/>
    </xf>
    <xf numFmtId="165" fontId="3" fillId="4" borderId="0" xfId="0" applyNumberFormat="1" applyFont="1" applyFill="1" applyBorder="1" applyAlignment="1" applyProtection="1">
      <alignment horizontal="center"/>
    </xf>
    <xf numFmtId="2" fontId="3" fillId="4" borderId="0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Border="1" applyAlignment="1" applyProtection="1">
      <alignment horizontal="center"/>
    </xf>
    <xf numFmtId="164" fontId="3" fillId="4" borderId="0" xfId="0" applyNumberFormat="1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0" fillId="6" borderId="0" xfId="0" applyFill="1" applyBorder="1" applyProtection="1"/>
    <xf numFmtId="0" fontId="6" fillId="6" borderId="0" xfId="0" applyFont="1" applyFill="1" applyBorder="1" applyProtection="1"/>
    <xf numFmtId="165" fontId="6" fillId="6" borderId="0" xfId="0" applyNumberFormat="1" applyFon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center"/>
    </xf>
    <xf numFmtId="165" fontId="0" fillId="4" borderId="0" xfId="0" applyNumberFormat="1" applyFill="1" applyBorder="1" applyAlignment="1" applyProtection="1">
      <alignment horizontal="center"/>
    </xf>
    <xf numFmtId="0" fontId="1" fillId="3" borderId="0" xfId="0" applyFont="1" applyFill="1" applyBorder="1" applyProtection="1"/>
    <xf numFmtId="165" fontId="0" fillId="3" borderId="0" xfId="0" applyNumberFormat="1" applyFill="1" applyBorder="1" applyAlignment="1" applyProtection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right"/>
    </xf>
    <xf numFmtId="165" fontId="0" fillId="6" borderId="0" xfId="0" applyNumberFormat="1" applyFill="1" applyBorder="1" applyAlignment="1" applyProtection="1">
      <alignment horizontal="right"/>
    </xf>
    <xf numFmtId="0" fontId="7" fillId="7" borderId="0" xfId="0" applyFont="1" applyFill="1" applyBorder="1" applyProtection="1"/>
    <xf numFmtId="0" fontId="0" fillId="8" borderId="0" xfId="0" applyFill="1" applyBorder="1" applyProtection="1"/>
    <xf numFmtId="164" fontId="0" fillId="6" borderId="0" xfId="0" applyNumberFormat="1" applyFill="1" applyBorder="1" applyAlignment="1" applyProtection="1">
      <alignment horizontal="center"/>
    </xf>
    <xf numFmtId="164" fontId="0" fillId="4" borderId="0" xfId="0" applyNumberFormat="1" applyFill="1" applyBorder="1" applyAlignment="1" applyProtection="1">
      <alignment horizontal="center"/>
    </xf>
    <xf numFmtId="165" fontId="1" fillId="6" borderId="0" xfId="0" applyNumberFormat="1" applyFont="1" applyFill="1" applyBorder="1" applyAlignment="1" applyProtection="1">
      <alignment horizontal="center"/>
    </xf>
    <xf numFmtId="164" fontId="6" fillId="6" borderId="0" xfId="0" applyNumberFormat="1" applyFont="1" applyFill="1" applyBorder="1" applyAlignment="1" applyProtection="1">
      <alignment horizontal="right"/>
    </xf>
    <xf numFmtId="164" fontId="6" fillId="6" borderId="0" xfId="0" applyNumberFormat="1" applyFont="1" applyFill="1" applyBorder="1" applyAlignment="1" applyProtection="1">
      <alignment horizontal="left"/>
    </xf>
    <xf numFmtId="165" fontId="6" fillId="6" borderId="0" xfId="0" applyNumberFormat="1" applyFont="1" applyFill="1" applyBorder="1" applyAlignment="1" applyProtection="1">
      <alignment horizontal="left"/>
    </xf>
    <xf numFmtId="164" fontId="8" fillId="6" borderId="4" xfId="0" applyNumberFormat="1" applyFont="1" applyFill="1" applyBorder="1" applyAlignment="1" applyProtection="1">
      <alignment horizontal="center"/>
    </xf>
    <xf numFmtId="164" fontId="8" fillId="6" borderId="0" xfId="0" applyNumberFormat="1" applyFont="1" applyFill="1" applyBorder="1" applyAlignment="1" applyProtection="1">
      <alignment horizontal="center"/>
    </xf>
    <xf numFmtId="165" fontId="8" fillId="6" borderId="4" xfId="0" applyNumberFormat="1" applyFont="1" applyFill="1" applyBorder="1" applyAlignment="1" applyProtection="1">
      <alignment horizontal="right"/>
    </xf>
    <xf numFmtId="165" fontId="8" fillId="6" borderId="0" xfId="0" applyNumberFormat="1" applyFont="1" applyFill="1" applyBorder="1" applyAlignment="1" applyProtection="1">
      <alignment horizontal="left"/>
    </xf>
    <xf numFmtId="0" fontId="0" fillId="9" borderId="0" xfId="0" applyFill="1" applyBorder="1" applyProtection="1"/>
    <xf numFmtId="165" fontId="0" fillId="6" borderId="0" xfId="0" applyNumberFormat="1" applyFill="1" applyBorder="1" applyAlignment="1" applyProtection="1">
      <alignment horizontal="left"/>
    </xf>
    <xf numFmtId="164" fontId="0" fillId="6" borderId="4" xfId="0" applyNumberFormat="1" applyFill="1" applyBorder="1" applyAlignment="1" applyProtection="1">
      <alignment horizontal="center"/>
    </xf>
    <xf numFmtId="165" fontId="0" fillId="6" borderId="4" xfId="0" applyNumberForma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left" indent="2"/>
    </xf>
    <xf numFmtId="0" fontId="0" fillId="10" borderId="0" xfId="0" applyFill="1" applyBorder="1" applyProtection="1"/>
    <xf numFmtId="166" fontId="3" fillId="2" borderId="1" xfId="0" applyNumberFormat="1" applyFont="1" applyFill="1" applyBorder="1" applyProtection="1">
      <protection locked="0"/>
    </xf>
    <xf numFmtId="168" fontId="3" fillId="2" borderId="1" xfId="0" applyNumberFormat="1" applyFont="1" applyFill="1" applyBorder="1" applyAlignment="1" applyProtection="1">
      <alignment horizontal="center"/>
      <protection locked="0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168" fontId="3" fillId="2" borderId="1" xfId="0" applyNumberFormat="1" applyFont="1" applyFill="1" applyBorder="1" applyAlignment="1" applyProtection="1">
      <alignment horizontal="left"/>
      <protection locked="0"/>
    </xf>
    <xf numFmtId="165" fontId="7" fillId="7" borderId="0" xfId="0" applyNumberFormat="1" applyFont="1" applyFill="1" applyBorder="1" applyAlignment="1" applyProtection="1">
      <alignment horizontal="center"/>
    </xf>
    <xf numFmtId="165" fontId="0" fillId="8" borderId="0" xfId="0" applyNumberFormat="1" applyFill="1" applyBorder="1" applyAlignment="1" applyProtection="1">
      <alignment horizontal="center"/>
    </xf>
    <xf numFmtId="165" fontId="5" fillId="8" borderId="0" xfId="0" applyNumberFormat="1" applyFont="1" applyFill="1" applyBorder="1" applyAlignment="1" applyProtection="1">
      <alignment horizontal="center"/>
    </xf>
    <xf numFmtId="165" fontId="5" fillId="9" borderId="0" xfId="0" applyNumberFormat="1" applyFont="1" applyFill="1" applyBorder="1" applyAlignment="1" applyProtection="1">
      <alignment horizontal="center"/>
    </xf>
    <xf numFmtId="165" fontId="0" fillId="9" borderId="0" xfId="0" applyNumberFormat="1" applyFill="1" applyBorder="1" applyAlignment="1" applyProtection="1">
      <alignment horizontal="center"/>
    </xf>
    <xf numFmtId="165" fontId="0" fillId="10" borderId="0" xfId="0" applyNumberForma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49" fontId="1" fillId="2" borderId="3" xfId="0" quotePrefix="1" applyNumberFormat="1" applyFont="1" applyFill="1" applyBorder="1" applyProtection="1">
      <protection locked="0"/>
    </xf>
    <xf numFmtId="49" fontId="1" fillId="2" borderId="3" xfId="0" applyNumberFormat="1" applyFont="1" applyFill="1" applyBorder="1" applyProtection="1">
      <protection locked="0"/>
    </xf>
    <xf numFmtId="0" fontId="0" fillId="2" borderId="0" xfId="0" applyFill="1" applyBorder="1" applyAlignment="1" applyProtection="1">
      <alignment horizontal="left" indent="1"/>
      <protection locked="0"/>
    </xf>
    <xf numFmtId="168" fontId="3" fillId="12" borderId="1" xfId="0" applyNumberFormat="1" applyFont="1" applyFill="1" applyBorder="1" applyAlignment="1" applyProtection="1">
      <alignment horizontal="center"/>
      <protection locked="0"/>
    </xf>
    <xf numFmtId="0" fontId="10" fillId="3" borderId="0" xfId="0" quotePrefix="1" applyFont="1" applyFill="1" applyBorder="1" applyProtection="1"/>
    <xf numFmtId="165" fontId="10" fillId="6" borderId="0" xfId="0" quotePrefix="1" applyNumberFormat="1" applyFont="1" applyFill="1" applyBorder="1" applyAlignment="1" applyProtection="1">
      <alignment horizontal="left"/>
    </xf>
    <xf numFmtId="0" fontId="11" fillId="11" borderId="0" xfId="0" applyFont="1" applyFill="1" applyBorder="1" applyAlignment="1" applyProtection="1">
      <alignment horizontal="center"/>
    </xf>
    <xf numFmtId="4" fontId="7" fillId="7" borderId="0" xfId="0" applyNumberFormat="1" applyFont="1" applyFill="1" applyBorder="1" applyProtection="1"/>
    <xf numFmtId="4" fontId="7" fillId="8" borderId="0" xfId="0" applyNumberFormat="1" applyFont="1" applyFill="1" applyBorder="1" applyProtection="1"/>
    <xf numFmtId="4" fontId="7" fillId="9" borderId="0" xfId="0" applyNumberFormat="1" applyFont="1" applyFill="1" applyBorder="1" applyProtection="1"/>
    <xf numFmtId="4" fontId="7" fillId="10" borderId="0" xfId="0" applyNumberFormat="1" applyFont="1" applyFill="1" applyBorder="1" applyProtection="1"/>
    <xf numFmtId="168" fontId="3" fillId="6" borderId="1" xfId="0" applyNumberFormat="1" applyFont="1" applyFill="1" applyBorder="1" applyAlignment="1" applyProtection="1">
      <alignment horizontal="center"/>
    </xf>
    <xf numFmtId="0" fontId="0" fillId="6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00"/>
      <color rgb="FFF0F0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28575</xdr:rowOff>
        </xdr:from>
        <xdr:to>
          <xdr:col>5</xdr:col>
          <xdr:colOff>447675</xdr:colOff>
          <xdr:row>2</xdr:row>
          <xdr:rowOff>180975</xdr:rowOff>
        </xdr:to>
        <xdr:sp macro="" textlink="">
          <xdr:nvSpPr>
            <xdr:cNvPr id="1026" name="CheckBox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28575</xdr:rowOff>
        </xdr:from>
        <xdr:to>
          <xdr:col>5</xdr:col>
          <xdr:colOff>447675</xdr:colOff>
          <xdr:row>3</xdr:row>
          <xdr:rowOff>180975</xdr:rowOff>
        </xdr:to>
        <xdr:sp macro="" textlink="">
          <xdr:nvSpPr>
            <xdr:cNvPr id="1027" name="CheckBox2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28575</xdr:rowOff>
        </xdr:from>
        <xdr:to>
          <xdr:col>5</xdr:col>
          <xdr:colOff>447675</xdr:colOff>
          <xdr:row>4</xdr:row>
          <xdr:rowOff>180975</xdr:rowOff>
        </xdr:to>
        <xdr:sp macro="" textlink="">
          <xdr:nvSpPr>
            <xdr:cNvPr id="1028" name="CheckBox2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28575</xdr:rowOff>
        </xdr:from>
        <xdr:to>
          <xdr:col>5</xdr:col>
          <xdr:colOff>447675</xdr:colOff>
          <xdr:row>5</xdr:row>
          <xdr:rowOff>180975</xdr:rowOff>
        </xdr:to>
        <xdr:sp macro="" textlink="">
          <xdr:nvSpPr>
            <xdr:cNvPr id="1029" name="CheckBox2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28575</xdr:rowOff>
        </xdr:from>
        <xdr:to>
          <xdr:col>5</xdr:col>
          <xdr:colOff>447675</xdr:colOff>
          <xdr:row>6</xdr:row>
          <xdr:rowOff>180975</xdr:rowOff>
        </xdr:to>
        <xdr:sp macro="" textlink="">
          <xdr:nvSpPr>
            <xdr:cNvPr id="1030" name="CheckBox2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28575</xdr:rowOff>
        </xdr:from>
        <xdr:to>
          <xdr:col>5</xdr:col>
          <xdr:colOff>447675</xdr:colOff>
          <xdr:row>7</xdr:row>
          <xdr:rowOff>180975</xdr:rowOff>
        </xdr:to>
        <xdr:sp macro="" textlink="">
          <xdr:nvSpPr>
            <xdr:cNvPr id="1031" name="CheckBox2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28575</xdr:rowOff>
        </xdr:from>
        <xdr:to>
          <xdr:col>5</xdr:col>
          <xdr:colOff>447675</xdr:colOff>
          <xdr:row>8</xdr:row>
          <xdr:rowOff>180975</xdr:rowOff>
        </xdr:to>
        <xdr:sp macro="" textlink="">
          <xdr:nvSpPr>
            <xdr:cNvPr id="1032" name="CheckBox2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28575</xdr:rowOff>
        </xdr:from>
        <xdr:to>
          <xdr:col>5</xdr:col>
          <xdr:colOff>447675</xdr:colOff>
          <xdr:row>9</xdr:row>
          <xdr:rowOff>180975</xdr:rowOff>
        </xdr:to>
        <xdr:sp macro="" textlink="">
          <xdr:nvSpPr>
            <xdr:cNvPr id="1033" name="CheckBox2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28575</xdr:rowOff>
        </xdr:from>
        <xdr:to>
          <xdr:col>5</xdr:col>
          <xdr:colOff>447675</xdr:colOff>
          <xdr:row>10</xdr:row>
          <xdr:rowOff>180975</xdr:rowOff>
        </xdr:to>
        <xdr:sp macro="" textlink="">
          <xdr:nvSpPr>
            <xdr:cNvPr id="1034" name="CheckBox2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28575</xdr:rowOff>
        </xdr:from>
        <xdr:to>
          <xdr:col>5</xdr:col>
          <xdr:colOff>447675</xdr:colOff>
          <xdr:row>11</xdr:row>
          <xdr:rowOff>180975</xdr:rowOff>
        </xdr:to>
        <xdr:sp macro="" textlink="">
          <xdr:nvSpPr>
            <xdr:cNvPr id="1035" name="CheckBox2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28575</xdr:rowOff>
        </xdr:from>
        <xdr:to>
          <xdr:col>5</xdr:col>
          <xdr:colOff>447675</xdr:colOff>
          <xdr:row>12</xdr:row>
          <xdr:rowOff>180975</xdr:rowOff>
        </xdr:to>
        <xdr:sp macro="" textlink="">
          <xdr:nvSpPr>
            <xdr:cNvPr id="1036" name="CheckBox2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28575</xdr:rowOff>
        </xdr:from>
        <xdr:to>
          <xdr:col>5</xdr:col>
          <xdr:colOff>447675</xdr:colOff>
          <xdr:row>13</xdr:row>
          <xdr:rowOff>180975</xdr:rowOff>
        </xdr:to>
        <xdr:sp macro="" textlink="">
          <xdr:nvSpPr>
            <xdr:cNvPr id="1037" name="CheckBox2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14</xdr:row>
          <xdr:rowOff>28575</xdr:rowOff>
        </xdr:from>
        <xdr:to>
          <xdr:col>5</xdr:col>
          <xdr:colOff>447675</xdr:colOff>
          <xdr:row>14</xdr:row>
          <xdr:rowOff>180975</xdr:rowOff>
        </xdr:to>
        <xdr:sp macro="" textlink="">
          <xdr:nvSpPr>
            <xdr:cNvPr id="1038" name="CheckBox21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15</xdr:row>
          <xdr:rowOff>28575</xdr:rowOff>
        </xdr:from>
        <xdr:to>
          <xdr:col>5</xdr:col>
          <xdr:colOff>447675</xdr:colOff>
          <xdr:row>15</xdr:row>
          <xdr:rowOff>180975</xdr:rowOff>
        </xdr:to>
        <xdr:sp macro="" textlink="">
          <xdr:nvSpPr>
            <xdr:cNvPr id="1039" name="CheckBox21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16</xdr:row>
          <xdr:rowOff>28575</xdr:rowOff>
        </xdr:from>
        <xdr:to>
          <xdr:col>5</xdr:col>
          <xdr:colOff>447675</xdr:colOff>
          <xdr:row>16</xdr:row>
          <xdr:rowOff>180975</xdr:rowOff>
        </xdr:to>
        <xdr:sp macro="" textlink="">
          <xdr:nvSpPr>
            <xdr:cNvPr id="1040" name="CheckBox21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28575</xdr:rowOff>
        </xdr:from>
        <xdr:to>
          <xdr:col>5</xdr:col>
          <xdr:colOff>447675</xdr:colOff>
          <xdr:row>17</xdr:row>
          <xdr:rowOff>180975</xdr:rowOff>
        </xdr:to>
        <xdr:sp macro="" textlink="">
          <xdr:nvSpPr>
            <xdr:cNvPr id="1041" name="CheckBox2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52</xdr:row>
          <xdr:rowOff>76200</xdr:rowOff>
        </xdr:from>
        <xdr:to>
          <xdr:col>2</xdr:col>
          <xdr:colOff>1238250</xdr:colOff>
          <xdr:row>54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Migrate  Summary  To  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58</xdr:row>
          <xdr:rowOff>47625</xdr:rowOff>
        </xdr:from>
        <xdr:to>
          <xdr:col>2</xdr:col>
          <xdr:colOff>1228725</xdr:colOff>
          <xdr:row>60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Monthly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----&gt;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64"/>
  <sheetViews>
    <sheetView tabSelected="1" zoomScale="90" zoomScaleNormal="90" workbookViewId="0">
      <pane xSplit="1" topLeftCell="B1" activePane="topRight" state="frozen"/>
      <selection pane="topRight"/>
    </sheetView>
  </sheetViews>
  <sheetFormatPr defaultColWidth="9.140625" defaultRowHeight="15" x14ac:dyDescent="0.25"/>
  <cols>
    <col min="1" max="1" width="17.85546875" style="11" customWidth="1"/>
    <col min="2" max="2" width="9.5703125" style="11" customWidth="1"/>
    <col min="3" max="3" width="19.140625" style="11" customWidth="1"/>
    <col min="4" max="4" width="10.7109375" style="31" customWidth="1"/>
    <col min="5" max="5" width="12.85546875" style="31" customWidth="1"/>
    <col min="6" max="6" width="8.5703125" style="31" customWidth="1"/>
    <col min="7" max="7" width="7.85546875" style="31" customWidth="1"/>
    <col min="8" max="8" width="6.42578125" style="31" customWidth="1"/>
    <col min="9" max="9" width="7.5703125" style="31" customWidth="1"/>
    <col min="10" max="12" width="7.85546875" style="31" customWidth="1"/>
    <col min="13" max="14" width="10.7109375" style="40" customWidth="1"/>
    <col min="15" max="15" width="7.85546875" style="40" customWidth="1"/>
    <col min="16" max="16" width="7.5703125" style="31" customWidth="1"/>
    <col min="17" max="17" width="7.85546875" style="31" customWidth="1"/>
    <col min="18" max="18" width="7.5703125" style="31" customWidth="1"/>
    <col min="19" max="19" width="7.85546875" style="31" customWidth="1"/>
    <col min="20" max="20" width="201.5703125" style="11" customWidth="1"/>
    <col min="21" max="25" width="9.140625" style="11"/>
    <col min="26" max="26" width="25.5703125" style="11" customWidth="1"/>
    <col min="27" max="16384" width="9.140625" style="11"/>
  </cols>
  <sheetData>
    <row r="1" spans="1:38" s="5" customFormat="1" x14ac:dyDescent="0.25">
      <c r="A1" s="66"/>
      <c r="B1" s="67"/>
      <c r="C1" s="1"/>
      <c r="D1" s="2"/>
      <c r="E1" s="2"/>
      <c r="F1" s="2"/>
      <c r="G1" s="2"/>
      <c r="H1" s="2"/>
      <c r="I1" s="2"/>
      <c r="J1" s="2"/>
      <c r="K1" s="2"/>
      <c r="L1" s="2"/>
      <c r="M1" s="3"/>
      <c r="N1" s="3"/>
      <c r="O1" s="3"/>
      <c r="P1" s="2"/>
      <c r="Q1" s="2"/>
      <c r="R1" s="2"/>
      <c r="S1" s="2"/>
      <c r="T1" s="4"/>
      <c r="Z1" s="6" t="s">
        <v>8</v>
      </c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34.5" x14ac:dyDescent="0.25">
      <c r="A2" s="7" t="s">
        <v>4</v>
      </c>
      <c r="B2" s="8" t="s">
        <v>22</v>
      </c>
      <c r="C2" s="8" t="s">
        <v>20</v>
      </c>
      <c r="D2" s="9" t="s">
        <v>16</v>
      </c>
      <c r="E2" s="9" t="s">
        <v>17</v>
      </c>
      <c r="F2" s="9" t="s">
        <v>5</v>
      </c>
      <c r="G2" s="9" t="s">
        <v>21</v>
      </c>
      <c r="H2" s="9" t="s">
        <v>23</v>
      </c>
      <c r="I2" s="9" t="s">
        <v>7</v>
      </c>
      <c r="J2" s="9" t="s">
        <v>12</v>
      </c>
      <c r="K2" s="9" t="s">
        <v>7</v>
      </c>
      <c r="L2" s="9" t="s">
        <v>12</v>
      </c>
      <c r="M2" s="9" t="s">
        <v>18</v>
      </c>
      <c r="N2" s="9" t="s">
        <v>19</v>
      </c>
      <c r="O2" s="9" t="s">
        <v>6</v>
      </c>
      <c r="P2" s="9" t="s">
        <v>7</v>
      </c>
      <c r="Q2" s="9" t="s">
        <v>12</v>
      </c>
      <c r="R2" s="9" t="s">
        <v>7</v>
      </c>
      <c r="S2" s="9" t="s">
        <v>12</v>
      </c>
      <c r="T2" s="10" t="s">
        <v>82</v>
      </c>
      <c r="Z2" s="12" t="s">
        <v>11</v>
      </c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55"/>
      <c r="B3" s="77" t="str">
        <f>IF(D3="","",D3)</f>
        <v/>
      </c>
      <c r="C3" s="55"/>
      <c r="D3" s="56"/>
      <c r="E3" s="69" t="str">
        <f t="shared" ref="E3:E17" si="0">IF(ISBLANK(D3),"",
IF((IF(B3="",D3,B3)+IF(F3=TRUE,TIME(4,0,0),TIME(9,0,0)))&gt;TIMEVALUE("11:59 PM"),
(IF(B3="",D3,B3)+IF(F3=TRUE,TIME(3,59,0),TIME(8,59,0)))-TIMEVALUE("11:58:59 PM"),
IF(B3="",D3,B3)+IF(F3=TRUE,TIME(4,0,0),TIME(9,0,0))
)
)</f>
        <v/>
      </c>
      <c r="F3" s="57" t="b">
        <v>0</v>
      </c>
      <c r="G3" s="13" t="str">
        <f t="shared" ref="G3:G18" si="1">IF(OR(D3="", E3=""),"", IF(D3&gt;E3,(24-((D3*1440)/60))+((E3*1440)/60),(E3-D3)*1440/60))</f>
        <v/>
      </c>
      <c r="H3" s="14" t="str">
        <f>IF(G3="","", IF(B3="",IF(G3=9,480, 240),IF(D3&lt;B3,0,(D3-B3)*1440)))</f>
        <v/>
      </c>
      <c r="I3" s="15" t="str">
        <f xml:space="preserve">
IF(G3="",
"",ROUND(
IF(AND(D3&gt;=TIMEVALUE("6:00 AM"), D3&lt;=TIMEVALUE("10:00 PM")),
IF(AND(E3&gt;=TIMEVALUE("6:00 AM"), E3&lt;=TIMEVALUE("10:00 PM")),
IF(D3&gt;E3,
(((TIMEVALUE("10:00 PM")-D3)*1440)/60) + (((E3-TIMEVALUE("6:00 AM"))*1440)/60),
((E3-D3)*1440)/60
),
IF(D3&gt;E3,
((TIMEVALUE("10:00 PM")-D3)*1440)/60,
((TIMEVALUE("10:00 PM")-D3)*1440)/60
)
),
IF(AND(E3&gt;=TIMEVALUE("6:00 AM"), E3&lt;=TIMEVALUE("10:00 PM")),
IF(D3&gt;E3,
((E3-TIMEVALUE("6:00 AM"))*1440)/60,
((E3-TIMEVALUE("6:00 AM"))*1440)/60
),
IF(D3&gt;E3,
G3-K3,
G3-K3
)
)
),2)
)</f>
        <v/>
      </c>
      <c r="J3" s="16" t="str">
        <f>IF(I3="","", IF(C3="REGULAR WORK","x",IF(C3="REST DAY","RDO",IF(C3="LEGAL","HOT",IF(C3="LEGAL + REST DAY","LRD",IF(C3="SPECIAL","SHO", IF(C3="SPECIAL + REST DAY","SPH","PTO")))))))</f>
        <v/>
      </c>
      <c r="K3" s="15" t="str">
        <f xml:space="preserve">
IF(G3="",
"",ROUND(
IF(AND(D3&gt;=TIMEVALUE("6:00 AM"), D3&lt;=TIMEVALUE("10:00 PM")),
IF(AND(E3&gt;=TIMEVALUE("6:00 AM"), E3&lt;=TIMEVALUE("10:00 PM")),
IF(D3&gt;E3,
G3-I3,
G3-I3
),
IF(D3&gt;E3,
(((E3-TIMEVALUE("12:00 AM"))*1440)/60)+2,
((E3-TIMEVALUE("10:00 PM"))*1440)/60
)
),
IF(AND(E3&gt;=TIMEVALUE("6:00 AM"), E3&lt;=TIMEVALUE("10:00 PM")),
IF(D3&gt;E3,
(2-(((D3-TIMEVALUE("10:00 PM"))*1440)/60))+6,
((TIMEVALUE("6:00 AM")-D3)*1440)/60
),
IF(D3&gt;E3,
(2-(((D3-TIMEVALUE("10:00 PM"))*1440)/60)) + (((E3-TIMEVALUE("12:00 AM"))*1440)/60),
((E3-D3)*1440)/60
)
)
),2)
)</f>
        <v/>
      </c>
      <c r="L3" s="16" t="str">
        <f>IF(K3="","",IF(C3="REGULAR WORK","N10",IF(C3="REST DAY","RD1",IF(C3="LEGAL","LOT",IF(C3="LEGAL + REST DAY","L10",IF(C3="SPECIAL","S10",IF(C3="SPECIAL + REST DAY","SH1","PTO")))))))</f>
        <v/>
      </c>
      <c r="M3" s="56"/>
      <c r="N3" s="56"/>
      <c r="O3" s="15" t="str">
        <f>IF(OR(M3="", N3=""),"", IF(M3&gt;N3,(24-((M3*1440)/60))+((N3*1440)/60),(N3-M3)*1440/60))</f>
        <v/>
      </c>
      <c r="P3" s="15" t="str">
        <f t="shared" ref="P3:P10" si="2">IF(O3="",
"",ROUND(
IF(AND(M3&gt;=TIMEVALUE("6:00 AM"), M3&lt;=TIMEVALUE("10:00 PM")),
IF(AND(N3&gt;=TIMEVALUE("6:00 AM"), N3&lt;=TIMEVALUE("10:00 PM")),
IF(M3&gt;N3,
(((TIMEVALUE("10:00 PM")-M3)*1440)/60) + (((N3-TIMEVALUE("6:00 AM"))*1440)/60),
((N3-M3)*1440)/60
),
IF(M3&gt;N3,
((TIMEVALUE("10:00 PM")-M3)*1440)/60,
((TIMEVALUE("10:00 PM")-M3)*1440)/60
)
),
IF(AND(N3&gt;=TIMEVALUE("6:00 AM"), N3&lt;=TIMEVALUE("10:00 PM")),
IF(M3&gt;N3,
((N3-TIMEVALUE("6:00 AM"))*1440)/60,
((N3-TIMEVALUE("6:00 AM"))*1440)/60
),
IF(M3&gt;N3,
O3-R3,
O3-R3
)
)
),2)
)</f>
        <v/>
      </c>
      <c r="Q3" s="16" t="str">
        <f>IF(P3="","",IF(C3="REGULAR WORK","ROT",IF(C3="REST DAY","RD8",IF(C3="LEGAL","LO8",IF(C3="LEGAL + REST DAY","LR8",IF(C3="SPECIAL","SH8",IF(C3="SPECIAL + REST DAY","SR8","PTO")))))))</f>
        <v/>
      </c>
      <c r="R3" s="15" t="str">
        <f xml:space="preserve">
IF(O3="",
"",ROUND(
IF(AND(M3&gt;=TIMEVALUE("6:00 AM"), M3&lt;=TIMEVALUE("10:00 PM")),
IF(AND(N3&gt;=TIMEVALUE("6:00 AM"), N3&lt;=TIMEVALUE("10:00 PM")),
IF(M3&gt;N3,
O3-P3,
O3-P3
),
IF(M3&gt;N3,
(((N3-TIMEVALUE("12:00 AM"))*1440)/60)+2,
((N3-TIMEVALUE("10:00 PM"))*1440)/60
)
),
IF(AND(N3&gt;=TIMEVALUE("6:00 AM"), N3&lt;=TIMEVALUE("10:00 PM")),
IF(M3&gt;N3,
(2-(((M3-TIMEVALUE("10:00 PM"))*1440)/60))+6,
((TIMEVALUE("6:00 AM")-M3)*1440)/60
),
IF(M3&gt;N3,
(2-(((M3-TIMEVALUE("10:00 PM"))*1440)/60)) + (((N3-TIMEVALUE("12:00 AM"))*1440)/60),
((N3-M3)*1440)/60
)
)
),2)
)</f>
        <v/>
      </c>
      <c r="S3" s="16" t="str">
        <f>IF(R3="","",IF(C3="REGULAR WORK","R10",IF(C3="REST DAY","RN1",IF(C3="LEGAL","LN1",IF(C3="LEGAL + REST DAY","LE1",IF(C3="SPECIAL","SN1",IF(C3="SPECIAL + REST DAY","SP1","PTO")))))))</f>
        <v/>
      </c>
      <c r="T3" s="58"/>
      <c r="Z3" s="12" t="s">
        <v>13</v>
      </c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55"/>
      <c r="B4" s="77" t="str">
        <f t="shared" ref="B4:B18" si="3">IF(D4="","",D4)</f>
        <v/>
      </c>
      <c r="C4" s="55"/>
      <c r="D4" s="56"/>
      <c r="E4" s="69" t="str">
        <f t="shared" si="0"/>
        <v/>
      </c>
      <c r="F4" s="57" t="b">
        <v>0</v>
      </c>
      <c r="G4" s="13" t="str">
        <f t="shared" si="1"/>
        <v/>
      </c>
      <c r="H4" s="14" t="str">
        <f t="shared" ref="H4:H18" si="4">IF(G4="","", IF(B4="",IF(G4=9,480, 240),IF(D4&lt;B4,0,(D4-B4)*1440)))</f>
        <v/>
      </c>
      <c r="I4" s="15" t="str">
        <f t="shared" ref="I4:I18" si="5" xml:space="preserve">
IF(G4="",
"",ROUND(
IF(AND(D4&gt;=TIMEVALUE("6:00 AM"), D4&lt;=TIMEVALUE("10:00 PM")),
IF(AND(E4&gt;=TIMEVALUE("6:00 AM"), E4&lt;=TIMEVALUE("10:00 PM")),
IF(D4&gt;E4,
(((TIMEVALUE("10:00 PM")-D4)*1440)/60) + (((E4-TIMEVALUE("6:00 AM"))*1440)/60),
((E4-D4)*1440)/60
),
IF(D4&gt;E4,
((TIMEVALUE("10:00 PM")-D4)*1440)/60,
((TIMEVALUE("10:00 PM")-D4)*1440)/60
)
),
IF(AND(E4&gt;=TIMEVALUE("6:00 AM"), E4&lt;=TIMEVALUE("10:00 PM")),
IF(D4&gt;E4,
((E4-TIMEVALUE("6:00 AM"))*1440)/60,
((E4-TIMEVALUE("6:00 AM"))*1440)/60
),
IF(D4&gt;E4,
G4-K4,
G4-K4
)
)
),2)
)</f>
        <v/>
      </c>
      <c r="J4" s="16" t="str">
        <f t="shared" ref="J4:J18" si="6">IF(I4="","", IF(C4="REGULAR WORK","x",IF(C4="REST DAY","RDO",IF(C4="LEGAL","HOT",IF(C4="LEGAL + REST DAY","LRD",IF(C4="SPECIAL","SHO", IF(C4="SPECIAL + REST DAY","SPH","PTO")))))))</f>
        <v/>
      </c>
      <c r="K4" s="15" t="str">
        <f t="shared" ref="K4:K18" si="7" xml:space="preserve">
IF(G4="",
"",ROUND(
IF(AND(D4&gt;=TIMEVALUE("6:00 AM"), D4&lt;=TIMEVALUE("10:00 PM")),
IF(AND(E4&gt;=TIMEVALUE("6:00 AM"), E4&lt;=TIMEVALUE("10:00 PM")),
IF(D4&gt;E4,
G4-I4,
G4-I4
),
IF(D4&gt;E4,
(((E4-TIMEVALUE("12:00 AM"))*1440)/60)+2,
((E4-TIMEVALUE("10:00 PM"))*1440)/60
)
),
IF(AND(E4&gt;=TIMEVALUE("6:00 AM"), E4&lt;=TIMEVALUE("10:00 PM")),
IF(D4&gt;E4,
(2-(((D4-TIMEVALUE("10:00 PM"))*1440)/60))+6,
((TIMEVALUE("6:00 AM")-D4)*1440)/60
),
IF(D4&gt;E4,
(2-(((D4-TIMEVALUE("10:00 PM"))*1440)/60)) + (((E4-TIMEVALUE("12:00 AM"))*1440)/60),
((E4-D4)*1440)/60
)
)
),2)
)</f>
        <v/>
      </c>
      <c r="L4" s="16" t="str">
        <f t="shared" ref="L4:L18" si="8">IF(K4="","",IF(C4="REGULAR WORK","N10",IF(C4="REST DAY","RD1",IF(C4="LEGAL","LOT",IF(C4="LEGAL + REST DAY","L10",IF(C4="SPECIAL","S10",IF(C4="SPECIAL + REST DAY","SH1","PTO")))))))</f>
        <v/>
      </c>
      <c r="M4" s="56"/>
      <c r="N4" s="56"/>
      <c r="O4" s="15" t="str">
        <f t="shared" ref="O4:O18" si="9">IF(OR(M4="", N4=""),"", IF(M4&gt;N4,(24-((M4*1440)/60))+((N4*1440)/60),(N4-M4)*1440/60))</f>
        <v/>
      </c>
      <c r="P4" s="15" t="str">
        <f t="shared" si="2"/>
        <v/>
      </c>
      <c r="Q4" s="16" t="str">
        <f t="shared" ref="Q4:Q18" si="10">IF(P4="","",IF(C4="REGULAR WORK","ROT",IF(C4="REST DAY","RD8",IF(C4="LEGAL","LO8",IF(C4="LEGAL + REST DAY","LR8",IF(C4="SPECIAL","SH8",IF(C4="SPECIAL + REST DAY","SR8","PTO")))))))</f>
        <v/>
      </c>
      <c r="R4" s="15" t="str">
        <f t="shared" ref="R4:R18" si="11" xml:space="preserve">
IF(O4="",
"",ROUND(
IF(AND(M4&gt;=TIMEVALUE("6:00 AM"), M4&lt;=TIMEVALUE("10:00 PM")),
IF(AND(N4&gt;=TIMEVALUE("6:00 AM"), N4&lt;=TIMEVALUE("10:00 PM")),
IF(M4&gt;N4,
O4-P4,
O4-P4
),
IF(M4&gt;N4,
(((N4-TIMEVALUE("12:00 AM"))*1440)/60)+2,
((N4-TIMEVALUE("10:00 PM"))*1440)/60
)
),
IF(AND(N4&gt;=TIMEVALUE("6:00 AM"), N4&lt;=TIMEVALUE("10:00 PM")),
IF(M4&gt;N4,
(2-(((M4-TIMEVALUE("10:00 PM"))*1440)/60))+6,
((TIMEVALUE("6:00 AM")-M4)*1440)/60
),
IF(M4&gt;N4,
(2-(((M4-TIMEVALUE("10:00 PM"))*1440)/60)) + (((N4-TIMEVALUE("12:00 AM"))*1440)/60),
((N4-M4)*1440)/60
)
)
),2)
)</f>
        <v/>
      </c>
      <c r="S4" s="16" t="str">
        <f t="shared" ref="S4:S18" si="12">IF(R4="","",IF(C4="REGULAR WORK","R10",IF(C4="REST DAY","RN1",IF(C4="LEGAL","LN1",IF(C4="LEGAL + REST DAY","LE1",IF(C4="SPECIAL","SN1",IF(C4="SPECIAL + REST DAY","SP1","PTO")))))))</f>
        <v/>
      </c>
      <c r="T4" s="58"/>
      <c r="Z4" s="12" t="s">
        <v>9</v>
      </c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55"/>
      <c r="B5" s="77" t="str">
        <f t="shared" si="3"/>
        <v/>
      </c>
      <c r="C5" s="55"/>
      <c r="D5" s="56"/>
      <c r="E5" s="69" t="str">
        <f t="shared" si="0"/>
        <v/>
      </c>
      <c r="F5" s="57" t="b">
        <v>0</v>
      </c>
      <c r="G5" s="13" t="str">
        <f t="shared" si="1"/>
        <v/>
      </c>
      <c r="H5" s="14" t="str">
        <f t="shared" si="4"/>
        <v/>
      </c>
      <c r="I5" s="15" t="str">
        <f t="shared" si="5"/>
        <v/>
      </c>
      <c r="J5" s="16" t="str">
        <f t="shared" si="6"/>
        <v/>
      </c>
      <c r="K5" s="15" t="str">
        <f t="shared" si="7"/>
        <v/>
      </c>
      <c r="L5" s="16" t="str">
        <f t="shared" si="8"/>
        <v/>
      </c>
      <c r="M5" s="56"/>
      <c r="N5" s="56"/>
      <c r="O5" s="15" t="str">
        <f t="shared" si="9"/>
        <v/>
      </c>
      <c r="P5" s="15" t="str">
        <f t="shared" si="2"/>
        <v/>
      </c>
      <c r="Q5" s="16" t="str">
        <f t="shared" si="10"/>
        <v/>
      </c>
      <c r="R5" s="15" t="str">
        <f t="shared" si="11"/>
        <v/>
      </c>
      <c r="S5" s="16" t="str">
        <f t="shared" si="12"/>
        <v/>
      </c>
      <c r="T5" s="58"/>
      <c r="Z5" s="12" t="s">
        <v>14</v>
      </c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55"/>
      <c r="B6" s="77" t="str">
        <f t="shared" si="3"/>
        <v/>
      </c>
      <c r="C6" s="55"/>
      <c r="D6" s="56"/>
      <c r="E6" s="69" t="str">
        <f t="shared" si="0"/>
        <v/>
      </c>
      <c r="F6" s="57" t="b">
        <v>0</v>
      </c>
      <c r="G6" s="13" t="str">
        <f t="shared" si="1"/>
        <v/>
      </c>
      <c r="H6" s="14" t="str">
        <f t="shared" si="4"/>
        <v/>
      </c>
      <c r="I6" s="15" t="str">
        <f t="shared" si="5"/>
        <v/>
      </c>
      <c r="J6" s="16" t="str">
        <f t="shared" si="6"/>
        <v/>
      </c>
      <c r="K6" s="15" t="str">
        <f t="shared" si="7"/>
        <v/>
      </c>
      <c r="L6" s="16" t="str">
        <f t="shared" si="8"/>
        <v/>
      </c>
      <c r="M6" s="56"/>
      <c r="N6" s="56"/>
      <c r="O6" s="15" t="str">
        <f t="shared" si="9"/>
        <v/>
      </c>
      <c r="P6" s="15" t="str">
        <f t="shared" si="2"/>
        <v/>
      </c>
      <c r="Q6" s="16" t="str">
        <f t="shared" si="10"/>
        <v/>
      </c>
      <c r="R6" s="15" t="str">
        <f t="shared" si="11"/>
        <v/>
      </c>
      <c r="S6" s="16" t="str">
        <f t="shared" si="12"/>
        <v/>
      </c>
      <c r="T6" s="58"/>
      <c r="Z6" s="12" t="s">
        <v>10</v>
      </c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55"/>
      <c r="B7" s="77" t="str">
        <f t="shared" si="3"/>
        <v/>
      </c>
      <c r="C7" s="55"/>
      <c r="D7" s="56"/>
      <c r="E7" s="69" t="str">
        <f t="shared" si="0"/>
        <v/>
      </c>
      <c r="F7" s="57" t="b">
        <v>0</v>
      </c>
      <c r="G7" s="13" t="str">
        <f t="shared" si="1"/>
        <v/>
      </c>
      <c r="H7" s="14" t="str">
        <f t="shared" si="4"/>
        <v/>
      </c>
      <c r="I7" s="15" t="str">
        <f t="shared" si="5"/>
        <v/>
      </c>
      <c r="J7" s="16" t="str">
        <f t="shared" si="6"/>
        <v/>
      </c>
      <c r="K7" s="15" t="str">
        <f t="shared" si="7"/>
        <v/>
      </c>
      <c r="L7" s="16" t="str">
        <f t="shared" si="8"/>
        <v/>
      </c>
      <c r="M7" s="56"/>
      <c r="N7" s="56"/>
      <c r="O7" s="15" t="str">
        <f t="shared" si="9"/>
        <v/>
      </c>
      <c r="P7" s="15" t="str">
        <f t="shared" si="2"/>
        <v/>
      </c>
      <c r="Q7" s="16" t="str">
        <f t="shared" si="10"/>
        <v/>
      </c>
      <c r="R7" s="15" t="str">
        <f t="shared" si="11"/>
        <v/>
      </c>
      <c r="S7" s="16" t="str">
        <f t="shared" si="12"/>
        <v/>
      </c>
      <c r="T7" s="58"/>
      <c r="Z7" s="12" t="s">
        <v>15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55"/>
      <c r="B8" s="77" t="str">
        <f t="shared" si="3"/>
        <v/>
      </c>
      <c r="C8" s="55"/>
      <c r="D8" s="56"/>
      <c r="E8" s="69" t="str">
        <f t="shared" si="0"/>
        <v/>
      </c>
      <c r="F8" s="57" t="b">
        <v>0</v>
      </c>
      <c r="G8" s="13" t="str">
        <f t="shared" si="1"/>
        <v/>
      </c>
      <c r="H8" s="14" t="str">
        <f t="shared" si="4"/>
        <v/>
      </c>
      <c r="I8" s="15" t="str">
        <f t="shared" si="5"/>
        <v/>
      </c>
      <c r="J8" s="16" t="str">
        <f t="shared" si="6"/>
        <v/>
      </c>
      <c r="K8" s="15" t="str">
        <f t="shared" si="7"/>
        <v/>
      </c>
      <c r="L8" s="16" t="str">
        <f t="shared" si="8"/>
        <v/>
      </c>
      <c r="M8" s="56"/>
      <c r="N8" s="56"/>
      <c r="O8" s="15" t="str">
        <f t="shared" si="9"/>
        <v/>
      </c>
      <c r="P8" s="15" t="str">
        <f t="shared" si="2"/>
        <v/>
      </c>
      <c r="Q8" s="16" t="str">
        <f t="shared" si="10"/>
        <v/>
      </c>
      <c r="R8" s="15" t="str">
        <f t="shared" si="11"/>
        <v/>
      </c>
      <c r="S8" s="16" t="str">
        <f t="shared" si="12"/>
        <v/>
      </c>
      <c r="T8" s="58"/>
      <c r="Z8" s="12" t="s">
        <v>65</v>
      </c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55"/>
      <c r="B9" s="77" t="str">
        <f t="shared" si="3"/>
        <v/>
      </c>
      <c r="C9" s="55"/>
      <c r="D9" s="56"/>
      <c r="E9" s="69" t="str">
        <f t="shared" si="0"/>
        <v/>
      </c>
      <c r="F9" s="57" t="b">
        <v>0</v>
      </c>
      <c r="G9" s="13" t="str">
        <f t="shared" si="1"/>
        <v/>
      </c>
      <c r="H9" s="14" t="str">
        <f t="shared" si="4"/>
        <v/>
      </c>
      <c r="I9" s="15" t="str">
        <f t="shared" si="5"/>
        <v/>
      </c>
      <c r="J9" s="16" t="str">
        <f t="shared" si="6"/>
        <v/>
      </c>
      <c r="K9" s="15" t="str">
        <f t="shared" si="7"/>
        <v/>
      </c>
      <c r="L9" s="16" t="str">
        <f t="shared" si="8"/>
        <v/>
      </c>
      <c r="M9" s="56"/>
      <c r="N9" s="56"/>
      <c r="O9" s="15" t="str">
        <f t="shared" si="9"/>
        <v/>
      </c>
      <c r="P9" s="15" t="str">
        <f t="shared" si="2"/>
        <v/>
      </c>
      <c r="Q9" s="16" t="str">
        <f t="shared" si="10"/>
        <v/>
      </c>
      <c r="R9" s="15" t="str">
        <f t="shared" si="11"/>
        <v/>
      </c>
      <c r="S9" s="16" t="str">
        <f t="shared" si="12"/>
        <v/>
      </c>
      <c r="T9" s="58"/>
      <c r="Z9" s="12" t="s">
        <v>66</v>
      </c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55"/>
      <c r="B10" s="77" t="str">
        <f t="shared" si="3"/>
        <v/>
      </c>
      <c r="C10" s="55"/>
      <c r="D10" s="56"/>
      <c r="E10" s="69" t="str">
        <f t="shared" si="0"/>
        <v/>
      </c>
      <c r="F10" s="57" t="b">
        <v>0</v>
      </c>
      <c r="G10" s="13" t="str">
        <f t="shared" si="1"/>
        <v/>
      </c>
      <c r="H10" s="14" t="str">
        <f t="shared" si="4"/>
        <v/>
      </c>
      <c r="I10" s="15" t="str">
        <f t="shared" si="5"/>
        <v/>
      </c>
      <c r="J10" s="16" t="str">
        <f t="shared" si="6"/>
        <v/>
      </c>
      <c r="K10" s="15" t="str">
        <f t="shared" si="7"/>
        <v/>
      </c>
      <c r="L10" s="16" t="str">
        <f t="shared" si="8"/>
        <v/>
      </c>
      <c r="M10" s="56"/>
      <c r="N10" s="56"/>
      <c r="O10" s="15" t="str">
        <f t="shared" si="9"/>
        <v/>
      </c>
      <c r="P10" s="15" t="str">
        <f t="shared" si="2"/>
        <v/>
      </c>
      <c r="Q10" s="16" t="str">
        <f t="shared" si="10"/>
        <v/>
      </c>
      <c r="R10" s="15" t="str">
        <f t="shared" si="11"/>
        <v/>
      </c>
      <c r="S10" s="16" t="str">
        <f t="shared" si="12"/>
        <v/>
      </c>
      <c r="T10" s="58"/>
      <c r="Z10" s="12" t="s">
        <v>67</v>
      </c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55"/>
      <c r="B11" s="77" t="str">
        <f t="shared" si="3"/>
        <v/>
      </c>
      <c r="C11" s="55"/>
      <c r="D11" s="56"/>
      <c r="E11" s="69" t="str">
        <f t="shared" si="0"/>
        <v/>
      </c>
      <c r="F11" s="57" t="b">
        <v>0</v>
      </c>
      <c r="G11" s="13" t="str">
        <f t="shared" si="1"/>
        <v/>
      </c>
      <c r="H11" s="14" t="str">
        <f t="shared" si="4"/>
        <v/>
      </c>
      <c r="I11" s="15" t="str">
        <f t="shared" si="5"/>
        <v/>
      </c>
      <c r="J11" s="16" t="str">
        <f t="shared" si="6"/>
        <v/>
      </c>
      <c r="K11" s="15" t="str">
        <f t="shared" si="7"/>
        <v/>
      </c>
      <c r="L11" s="16" t="str">
        <f t="shared" si="8"/>
        <v/>
      </c>
      <c r="M11" s="56"/>
      <c r="N11" s="56"/>
      <c r="O11" s="15" t="str">
        <f t="shared" si="9"/>
        <v/>
      </c>
      <c r="P11" s="15" t="str">
        <f>IF(O11="",
"",ROUND(
IF(AND(M11&gt;=TIMEVALUE("6:00 AM"), M11&lt;=TIMEVALUE("10:00 PM")),
IF(AND(N11&gt;=TIMEVALUE("6:00 AM"), N11&lt;=TIMEVALUE("10:00 PM")),
IF(M11&gt;N11,
(((TIMEVALUE("10:00 PM")-M11)*1440)/60) + (((N11-TIMEVALUE("6:00 AM"))*1440)/60),
((N11-M11)*1440)/60
),
IF(M11&gt;N11,
((TIMEVALUE("10:00 PM")-M11)*1440)/60,
((TIMEVALUE("10:00 PM")-M11)*1440)/60
)
),
IF(AND(N11&gt;=TIMEVALUE("6:00 AM"), N11&lt;=TIMEVALUE("10:00 PM")),
IF(M11&gt;N11,
((N11-TIMEVALUE("6:00 AM"))*1440)/60,
((N11-TIMEVALUE("6:00 AM"))*1440)/60
),
IF(M11&gt;N11,
O11-R11,
O11-R11
)
)
),2)
)</f>
        <v/>
      </c>
      <c r="Q11" s="16" t="str">
        <f t="shared" si="10"/>
        <v/>
      </c>
      <c r="R11" s="15" t="str">
        <f t="shared" si="11"/>
        <v/>
      </c>
      <c r="S11" s="16" t="str">
        <f t="shared" si="12"/>
        <v/>
      </c>
      <c r="T11" s="58"/>
      <c r="Z11" s="12" t="s">
        <v>68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55"/>
      <c r="B12" s="77" t="str">
        <f t="shared" si="3"/>
        <v/>
      </c>
      <c r="C12" s="55"/>
      <c r="D12" s="56"/>
      <c r="E12" s="69" t="str">
        <f t="shared" si="0"/>
        <v/>
      </c>
      <c r="F12" s="57" t="b">
        <v>0</v>
      </c>
      <c r="G12" s="13" t="str">
        <f t="shared" si="1"/>
        <v/>
      </c>
      <c r="H12" s="14" t="str">
        <f t="shared" si="4"/>
        <v/>
      </c>
      <c r="I12" s="15" t="str">
        <f t="shared" si="5"/>
        <v/>
      </c>
      <c r="J12" s="16" t="str">
        <f t="shared" si="6"/>
        <v/>
      </c>
      <c r="K12" s="15" t="str">
        <f t="shared" si="7"/>
        <v/>
      </c>
      <c r="L12" s="16" t="str">
        <f t="shared" si="8"/>
        <v/>
      </c>
      <c r="M12" s="56"/>
      <c r="N12" s="56"/>
      <c r="O12" s="15" t="str">
        <f t="shared" si="9"/>
        <v/>
      </c>
      <c r="P12" s="15" t="str">
        <f t="shared" ref="P12:P18" si="13">IF(O12="",
"",ROUND(
IF(AND(M12&gt;=TIMEVALUE("6:00 AM"), M12&lt;=TIMEVALUE("10:00 PM")),
IF(AND(N12&gt;=TIMEVALUE("6:00 AM"), N12&lt;=TIMEVALUE("10:00 PM")),
IF(M12&gt;N12,
(((TIMEVALUE("10:00 PM")-M12)*1440)/60) + (((N12-TIMEVALUE("6:00 AM"))*1440)/60),
((N12-M12)*1440)/60
),
IF(M12&gt;N12,
((TIMEVALUE("10:00 PM")-M12)*1440)/60,
((TIMEVALUE("10:00 PM")-M12)*1440)/60
)
),
IF(AND(N12&gt;=TIMEVALUE("6:00 AM"), N12&lt;=TIMEVALUE("10:00 PM")),
IF(M12&gt;N12,
((N12-TIMEVALUE("6:00 AM"))*1440)/60,
((N12-TIMEVALUE("6:00 AM"))*1440)/60
),
IF(M12&gt;N12,
O12-R12,
O12-R12
)
)
),2)
)</f>
        <v/>
      </c>
      <c r="Q12" s="16" t="str">
        <f t="shared" si="10"/>
        <v/>
      </c>
      <c r="R12" s="15" t="str">
        <f t="shared" si="11"/>
        <v/>
      </c>
      <c r="S12" s="16" t="str">
        <f t="shared" si="12"/>
        <v/>
      </c>
      <c r="T12" s="58"/>
      <c r="Z12" s="12" t="s">
        <v>69</v>
      </c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55"/>
      <c r="B13" s="77" t="str">
        <f t="shared" si="3"/>
        <v/>
      </c>
      <c r="C13" s="55"/>
      <c r="D13" s="56"/>
      <c r="E13" s="69" t="str">
        <f t="shared" si="0"/>
        <v/>
      </c>
      <c r="F13" s="57" t="b">
        <v>0</v>
      </c>
      <c r="G13" s="13" t="str">
        <f t="shared" si="1"/>
        <v/>
      </c>
      <c r="H13" s="14" t="str">
        <f t="shared" si="4"/>
        <v/>
      </c>
      <c r="I13" s="15" t="str">
        <f t="shared" si="5"/>
        <v/>
      </c>
      <c r="J13" s="16" t="str">
        <f t="shared" si="6"/>
        <v/>
      </c>
      <c r="K13" s="15" t="str">
        <f t="shared" si="7"/>
        <v/>
      </c>
      <c r="L13" s="16" t="str">
        <f t="shared" si="8"/>
        <v/>
      </c>
      <c r="M13" s="56"/>
      <c r="N13" s="56"/>
      <c r="O13" s="15" t="str">
        <f t="shared" si="9"/>
        <v/>
      </c>
      <c r="P13" s="15" t="str">
        <f t="shared" si="13"/>
        <v/>
      </c>
      <c r="Q13" s="16" t="str">
        <f t="shared" si="10"/>
        <v/>
      </c>
      <c r="R13" s="15" t="str">
        <f t="shared" si="11"/>
        <v/>
      </c>
      <c r="S13" s="16" t="str">
        <f t="shared" si="12"/>
        <v/>
      </c>
      <c r="T13" s="58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55"/>
      <c r="B14" s="77" t="str">
        <f t="shared" si="3"/>
        <v/>
      </c>
      <c r="C14" s="55"/>
      <c r="D14" s="56"/>
      <c r="E14" s="69" t="str">
        <f t="shared" si="0"/>
        <v/>
      </c>
      <c r="F14" s="57" t="b">
        <v>0</v>
      </c>
      <c r="G14" s="13" t="str">
        <f t="shared" si="1"/>
        <v/>
      </c>
      <c r="H14" s="14" t="str">
        <f t="shared" si="4"/>
        <v/>
      </c>
      <c r="I14" s="15" t="str">
        <f t="shared" si="5"/>
        <v/>
      </c>
      <c r="J14" s="16" t="str">
        <f t="shared" si="6"/>
        <v/>
      </c>
      <c r="K14" s="15" t="str">
        <f t="shared" si="7"/>
        <v/>
      </c>
      <c r="L14" s="16" t="str">
        <f t="shared" si="8"/>
        <v/>
      </c>
      <c r="M14" s="56"/>
      <c r="N14" s="56"/>
      <c r="O14" s="15" t="str">
        <f t="shared" si="9"/>
        <v/>
      </c>
      <c r="P14" s="15" t="str">
        <f t="shared" si="13"/>
        <v/>
      </c>
      <c r="Q14" s="16" t="str">
        <f t="shared" si="10"/>
        <v/>
      </c>
      <c r="R14" s="15" t="str">
        <f t="shared" si="11"/>
        <v/>
      </c>
      <c r="S14" s="16" t="str">
        <f t="shared" si="12"/>
        <v/>
      </c>
      <c r="T14" s="58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55"/>
      <c r="B15" s="77" t="str">
        <f t="shared" si="3"/>
        <v/>
      </c>
      <c r="C15" s="55"/>
      <c r="D15" s="56"/>
      <c r="E15" s="69" t="str">
        <f t="shared" si="0"/>
        <v/>
      </c>
      <c r="F15" s="57" t="b">
        <v>0</v>
      </c>
      <c r="G15" s="13" t="str">
        <f t="shared" si="1"/>
        <v/>
      </c>
      <c r="H15" s="14" t="str">
        <f t="shared" si="4"/>
        <v/>
      </c>
      <c r="I15" s="15" t="str">
        <f t="shared" si="5"/>
        <v/>
      </c>
      <c r="J15" s="16" t="str">
        <f t="shared" si="6"/>
        <v/>
      </c>
      <c r="K15" s="15" t="str">
        <f t="shared" si="7"/>
        <v/>
      </c>
      <c r="L15" s="16" t="str">
        <f t="shared" si="8"/>
        <v/>
      </c>
      <c r="M15" s="56"/>
      <c r="N15" s="56"/>
      <c r="O15" s="15" t="str">
        <f t="shared" si="9"/>
        <v/>
      </c>
      <c r="P15" s="15" t="str">
        <f t="shared" si="13"/>
        <v/>
      </c>
      <c r="Q15" s="16" t="str">
        <f t="shared" si="10"/>
        <v/>
      </c>
      <c r="R15" s="15" t="str">
        <f t="shared" si="11"/>
        <v/>
      </c>
      <c r="S15" s="16" t="str">
        <f t="shared" si="12"/>
        <v/>
      </c>
      <c r="T15" s="58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55"/>
      <c r="B16" s="77" t="str">
        <f t="shared" si="3"/>
        <v/>
      </c>
      <c r="C16" s="55"/>
      <c r="D16" s="56"/>
      <c r="E16" s="69" t="str">
        <f t="shared" si="0"/>
        <v/>
      </c>
      <c r="F16" s="57" t="b">
        <v>0</v>
      </c>
      <c r="G16" s="13" t="str">
        <f t="shared" si="1"/>
        <v/>
      </c>
      <c r="H16" s="14" t="str">
        <f t="shared" si="4"/>
        <v/>
      </c>
      <c r="I16" s="15" t="str">
        <f t="shared" si="5"/>
        <v/>
      </c>
      <c r="J16" s="16" t="str">
        <f t="shared" si="6"/>
        <v/>
      </c>
      <c r="K16" s="15" t="str">
        <f t="shared" si="7"/>
        <v/>
      </c>
      <c r="L16" s="16" t="str">
        <f t="shared" si="8"/>
        <v/>
      </c>
      <c r="M16" s="56"/>
      <c r="N16" s="56"/>
      <c r="O16" s="15" t="str">
        <f t="shared" si="9"/>
        <v/>
      </c>
      <c r="P16" s="15" t="str">
        <f t="shared" si="13"/>
        <v/>
      </c>
      <c r="Q16" s="16" t="str">
        <f t="shared" si="10"/>
        <v/>
      </c>
      <c r="R16" s="15" t="str">
        <f t="shared" si="11"/>
        <v/>
      </c>
      <c r="S16" s="16" t="str">
        <f t="shared" si="12"/>
        <v/>
      </c>
      <c r="T16" s="58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55"/>
      <c r="B17" s="77" t="str">
        <f t="shared" si="3"/>
        <v/>
      </c>
      <c r="C17" s="55"/>
      <c r="D17" s="56"/>
      <c r="E17" s="69" t="str">
        <f t="shared" si="0"/>
        <v/>
      </c>
      <c r="F17" s="57" t="b">
        <v>0</v>
      </c>
      <c r="G17" s="13" t="str">
        <f t="shared" si="1"/>
        <v/>
      </c>
      <c r="H17" s="14" t="str">
        <f t="shared" si="4"/>
        <v/>
      </c>
      <c r="I17" s="15" t="str">
        <f t="shared" si="5"/>
        <v/>
      </c>
      <c r="J17" s="16" t="str">
        <f t="shared" si="6"/>
        <v/>
      </c>
      <c r="K17" s="15" t="str">
        <f t="shared" si="7"/>
        <v/>
      </c>
      <c r="L17" s="16" t="str">
        <f t="shared" si="8"/>
        <v/>
      </c>
      <c r="M17" s="56"/>
      <c r="N17" s="56"/>
      <c r="O17" s="15" t="str">
        <f t="shared" si="9"/>
        <v/>
      </c>
      <c r="P17" s="15" t="str">
        <f t="shared" si="13"/>
        <v/>
      </c>
      <c r="Q17" s="16" t="str">
        <f t="shared" si="10"/>
        <v/>
      </c>
      <c r="R17" s="15" t="str">
        <f t="shared" si="11"/>
        <v/>
      </c>
      <c r="S17" s="16" t="str">
        <f t="shared" si="12"/>
        <v/>
      </c>
      <c r="T17" s="58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55"/>
      <c r="B18" s="77" t="str">
        <f t="shared" si="3"/>
        <v/>
      </c>
      <c r="C18" s="55"/>
      <c r="D18" s="56"/>
      <c r="E18" s="69" t="str">
        <f t="shared" ref="E18" si="14">IF(ISBLANK(D18),"",
IF((IF(B18="",D18,B18)+IF(F18=TRUE,TIME(4,0,0),TIME(9,0,0)))&gt;TIMEVALUE("11:59 PM"),
(IF(B18="",D18,B18)+IF(F18=TRUE,TIME(3,59,0),TIME(8,59,0)))-TIMEVALUE("11:58:59 PM"),
IF(B18="",D18,B18)+IF(F18=TRUE,TIME(4,0,0),TIME(9,0,0))
)
)</f>
        <v/>
      </c>
      <c r="F18" s="57" t="b">
        <v>0</v>
      </c>
      <c r="G18" s="13" t="str">
        <f t="shared" si="1"/>
        <v/>
      </c>
      <c r="H18" s="14" t="str">
        <f t="shared" si="4"/>
        <v/>
      </c>
      <c r="I18" s="15" t="str">
        <f t="shared" si="5"/>
        <v/>
      </c>
      <c r="J18" s="16" t="str">
        <f t="shared" si="6"/>
        <v/>
      </c>
      <c r="K18" s="15" t="str">
        <f t="shared" si="7"/>
        <v/>
      </c>
      <c r="L18" s="16" t="str">
        <f t="shared" si="8"/>
        <v/>
      </c>
      <c r="M18" s="56"/>
      <c r="N18" s="56"/>
      <c r="O18" s="15" t="str">
        <f t="shared" si="9"/>
        <v/>
      </c>
      <c r="P18" s="15" t="str">
        <f t="shared" si="13"/>
        <v/>
      </c>
      <c r="Q18" s="16" t="str">
        <f t="shared" si="10"/>
        <v/>
      </c>
      <c r="R18" s="15" t="str">
        <f t="shared" si="11"/>
        <v/>
      </c>
      <c r="S18" s="16" t="str">
        <f t="shared" si="12"/>
        <v/>
      </c>
      <c r="T18" s="58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7"/>
      <c r="B19" s="17"/>
      <c r="C19" s="17"/>
      <c r="D19" s="18"/>
      <c r="E19" s="18"/>
      <c r="F19" s="18"/>
      <c r="G19" s="19"/>
      <c r="H19" s="19"/>
      <c r="I19" s="19"/>
      <c r="J19" s="19"/>
      <c r="K19" s="19"/>
      <c r="L19" s="19"/>
      <c r="M19" s="18"/>
      <c r="N19" s="18"/>
      <c r="O19" s="18"/>
      <c r="P19" s="19"/>
      <c r="Q19" s="19"/>
      <c r="R19" s="19"/>
      <c r="S19" s="19"/>
      <c r="T19" s="20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ht="18.75" x14ac:dyDescent="0.3">
      <c r="A20" s="72" t="s">
        <v>84</v>
      </c>
      <c r="B20" s="21"/>
      <c r="C20" s="21"/>
      <c r="D20" s="22"/>
      <c r="E20" s="23"/>
      <c r="F20" s="22"/>
      <c r="G20" s="24"/>
      <c r="H20" s="24"/>
      <c r="I20" s="24"/>
      <c r="J20" s="24"/>
      <c r="K20" s="24"/>
      <c r="L20" s="24"/>
      <c r="M20" s="25"/>
      <c r="N20" s="25"/>
      <c r="O20" s="25"/>
      <c r="P20" s="24"/>
      <c r="Q20" s="24"/>
      <c r="R20" s="24"/>
      <c r="S20" s="24"/>
      <c r="T20" s="26"/>
    </row>
    <row r="22" spans="1:38" x14ac:dyDescent="0.25">
      <c r="B22" s="27"/>
      <c r="C22" s="28" t="s">
        <v>27</v>
      </c>
      <c r="D22" s="29"/>
      <c r="E22" s="30"/>
      <c r="G22" s="32" t="s">
        <v>0</v>
      </c>
      <c r="H22" s="33"/>
      <c r="I22" s="30"/>
      <c r="J22" s="30"/>
      <c r="K22" s="33"/>
      <c r="L22" s="33"/>
      <c r="M22" s="33"/>
      <c r="N22" s="34"/>
      <c r="O22" s="34"/>
      <c r="P22" s="33"/>
      <c r="Q22" s="33"/>
      <c r="R22" s="33"/>
      <c r="S22" s="33"/>
      <c r="T22" s="27"/>
    </row>
    <row r="23" spans="1:38" x14ac:dyDescent="0.25">
      <c r="B23" s="27" t="s">
        <v>25</v>
      </c>
      <c r="C23" s="35" t="s">
        <v>24</v>
      </c>
      <c r="D23" s="30"/>
      <c r="E23" s="36" t="s">
        <v>26</v>
      </c>
      <c r="G23" s="70" t="s">
        <v>1</v>
      </c>
      <c r="H23" s="33"/>
      <c r="I23" s="30"/>
      <c r="J23" s="30"/>
      <c r="K23" s="33"/>
      <c r="L23" s="33"/>
      <c r="M23" s="33"/>
      <c r="N23" s="34"/>
      <c r="O23" s="34"/>
      <c r="P23" s="33"/>
      <c r="Q23" s="33"/>
      <c r="R23" s="33"/>
      <c r="S23" s="33"/>
      <c r="T23" s="27"/>
    </row>
    <row r="24" spans="1:38" x14ac:dyDescent="0.25">
      <c r="B24" s="37" t="str">
        <f t="array" ref="B24">INDEX($J$3:$J$18, MATCH(0, COUNTIF($B23:B$23, $J$3:$J$18), 0))</f>
        <v/>
      </c>
      <c r="C24" s="73">
        <f>SUMIFS($I$3:$I$18,$J$3:$J$18,B24)</f>
        <v>0</v>
      </c>
      <c r="D24" s="59"/>
      <c r="E24" s="37">
        <f>COUNTIFS($J$3:$J$18,B24)</f>
        <v>16</v>
      </c>
      <c r="G24" s="70" t="s">
        <v>2</v>
      </c>
      <c r="H24" s="33"/>
      <c r="I24" s="30"/>
      <c r="J24" s="30"/>
      <c r="K24" s="33"/>
      <c r="L24" s="33"/>
      <c r="M24" s="33"/>
      <c r="N24" s="34"/>
      <c r="O24" s="34"/>
      <c r="P24" s="33"/>
      <c r="Q24" s="33"/>
      <c r="R24" s="33"/>
      <c r="S24" s="33"/>
      <c r="T24" s="27"/>
    </row>
    <row r="25" spans="1:38" x14ac:dyDescent="0.25">
      <c r="B25" s="37" t="e">
        <f t="array" ref="B25">INDEX($J$3:$J$18, MATCH(0, COUNTIF($B$23:B24, $J$3:$J$18), 0))</f>
        <v>#N/A</v>
      </c>
      <c r="C25" s="73">
        <f t="shared" ref="C25:C30" si="15">SUMIFS($I$3:$I$18,$J$3:$J$18,B25)</f>
        <v>0</v>
      </c>
      <c r="D25" s="59"/>
      <c r="E25" s="37">
        <f>COUNTIFS($J$3:$J$18,B25)</f>
        <v>0</v>
      </c>
      <c r="G25" s="70" t="s">
        <v>75</v>
      </c>
      <c r="H25" s="33"/>
      <c r="I25" s="30"/>
      <c r="J25" s="30"/>
      <c r="K25" s="33"/>
      <c r="L25" s="33"/>
      <c r="M25" s="33"/>
      <c r="N25" s="34"/>
      <c r="O25" s="34"/>
      <c r="P25" s="33"/>
      <c r="Q25" s="33"/>
      <c r="R25" s="33"/>
      <c r="S25" s="33"/>
      <c r="T25" s="27"/>
    </row>
    <row r="26" spans="1:38" x14ac:dyDescent="0.25">
      <c r="B26" s="37" t="e">
        <f t="array" ref="B26">INDEX($J$3:$J$18, MATCH(0, COUNTIF($B$23:B25, $J$3:$J$18), 0))</f>
        <v>#N/A</v>
      </c>
      <c r="C26" s="73">
        <f t="shared" si="15"/>
        <v>0</v>
      </c>
      <c r="D26" s="59"/>
      <c r="E26" s="37">
        <f t="shared" ref="E26:E30" si="16">COUNTIFS($J$3:$J$18,B26)</f>
        <v>0</v>
      </c>
      <c r="G26" s="70" t="s">
        <v>3</v>
      </c>
      <c r="H26" s="33"/>
      <c r="I26" s="30"/>
      <c r="J26" s="30"/>
      <c r="K26" s="33"/>
      <c r="L26" s="33"/>
      <c r="M26" s="33"/>
      <c r="N26" s="34"/>
      <c r="O26" s="34"/>
      <c r="P26" s="33"/>
      <c r="Q26" s="33"/>
      <c r="R26" s="33"/>
      <c r="S26" s="33"/>
      <c r="T26" s="27"/>
    </row>
    <row r="27" spans="1:38" x14ac:dyDescent="0.25">
      <c r="B27" s="37" t="e">
        <f t="array" ref="B27">INDEX($J$3:$J$18, MATCH(0, COUNTIF($B$23:B26, $J$3:$J$18), 0))</f>
        <v>#N/A</v>
      </c>
      <c r="C27" s="73">
        <f t="shared" si="15"/>
        <v>0</v>
      </c>
      <c r="D27" s="59"/>
      <c r="E27" s="37">
        <f t="shared" si="16"/>
        <v>0</v>
      </c>
      <c r="G27" s="70" t="s">
        <v>71</v>
      </c>
      <c r="H27" s="33"/>
      <c r="I27" s="30"/>
      <c r="J27" s="30"/>
      <c r="K27" s="33"/>
      <c r="L27" s="33"/>
      <c r="M27" s="33"/>
      <c r="N27" s="34"/>
      <c r="O27" s="34"/>
      <c r="P27" s="33"/>
      <c r="Q27" s="33"/>
      <c r="R27" s="33"/>
      <c r="S27" s="33"/>
      <c r="T27" s="27"/>
    </row>
    <row r="28" spans="1:38" x14ac:dyDescent="0.25">
      <c r="B28" s="37" t="e">
        <f t="array" ref="B28">INDEX($J$3:$J$18, MATCH(0, COUNTIF($B$23:B27, $J$3:$J$18), 0))</f>
        <v>#N/A</v>
      </c>
      <c r="C28" s="73">
        <f t="shared" si="15"/>
        <v>0</v>
      </c>
      <c r="D28" s="59"/>
      <c r="E28" s="37">
        <f t="shared" si="16"/>
        <v>0</v>
      </c>
      <c r="G28" s="70" t="s">
        <v>72</v>
      </c>
      <c r="H28" s="33"/>
      <c r="I28" s="30"/>
      <c r="J28" s="30"/>
      <c r="K28" s="33"/>
      <c r="L28" s="33"/>
      <c r="M28" s="33"/>
      <c r="N28" s="34"/>
      <c r="O28" s="34"/>
      <c r="P28" s="33"/>
      <c r="Q28" s="33"/>
      <c r="R28" s="33"/>
      <c r="S28" s="33"/>
      <c r="T28" s="27"/>
    </row>
    <row r="29" spans="1:38" x14ac:dyDescent="0.25">
      <c r="B29" s="37" t="e">
        <f t="array" ref="B29">INDEX($J$3:$J$18, MATCH(0, COUNTIF($B$23:B28, $J$3:$J$18), 0))</f>
        <v>#N/A</v>
      </c>
      <c r="C29" s="73">
        <f t="shared" si="15"/>
        <v>0</v>
      </c>
      <c r="D29" s="59"/>
      <c r="E29" s="37">
        <f t="shared" si="16"/>
        <v>0</v>
      </c>
      <c r="G29" s="70" t="s">
        <v>73</v>
      </c>
      <c r="H29" s="33"/>
      <c r="I29" s="30"/>
      <c r="J29" s="30"/>
      <c r="K29" s="33"/>
      <c r="L29" s="33"/>
      <c r="M29" s="33"/>
      <c r="N29" s="34"/>
      <c r="O29" s="34"/>
      <c r="P29" s="33"/>
      <c r="Q29" s="33"/>
      <c r="R29" s="33"/>
      <c r="S29" s="33"/>
      <c r="T29" s="27"/>
    </row>
    <row r="30" spans="1:38" x14ac:dyDescent="0.25">
      <c r="B30" s="37" t="e">
        <f t="array" ref="B30">INDEX($J$3:$J$18, MATCH(0, COUNTIF($B$23:B29, $J$3:$J$18), 0))</f>
        <v>#N/A</v>
      </c>
      <c r="C30" s="73">
        <f t="shared" si="15"/>
        <v>0</v>
      </c>
      <c r="D30" s="59"/>
      <c r="E30" s="37">
        <f t="shared" si="16"/>
        <v>0</v>
      </c>
      <c r="G30" s="70" t="s">
        <v>74</v>
      </c>
      <c r="H30" s="33"/>
      <c r="I30" s="30"/>
      <c r="J30" s="30"/>
      <c r="K30" s="33"/>
      <c r="L30" s="33"/>
      <c r="M30" s="33"/>
      <c r="N30" s="34"/>
      <c r="O30" s="34"/>
      <c r="P30" s="33"/>
      <c r="Q30" s="33"/>
      <c r="R30" s="33"/>
      <c r="S30" s="33"/>
      <c r="T30" s="27"/>
    </row>
    <row r="31" spans="1:38" x14ac:dyDescent="0.25">
      <c r="B31" s="38" t="str">
        <f t="array" ref="B31">INDEX($L$3:$L$18, MATCH(0, COUNTIF($B$30:B30, $L$3:$L$18), 0))</f>
        <v/>
      </c>
      <c r="C31" s="74">
        <f>SUMIFS($K$3:$K$18,$L$3:$L$18,B31)</f>
        <v>0</v>
      </c>
      <c r="D31" s="60"/>
      <c r="E31" s="38">
        <f>COUNTIFS($L$3:$L$18,B31)</f>
        <v>16</v>
      </c>
      <c r="G31" s="70" t="s">
        <v>76</v>
      </c>
      <c r="H31" s="33"/>
      <c r="I31" s="30"/>
      <c r="J31" s="30"/>
      <c r="K31" s="33"/>
      <c r="L31" s="33"/>
      <c r="M31" s="33"/>
      <c r="N31" s="34"/>
      <c r="O31" s="34"/>
      <c r="P31" s="33"/>
      <c r="Q31" s="33"/>
      <c r="R31" s="33"/>
      <c r="S31" s="33"/>
      <c r="T31" s="27"/>
    </row>
    <row r="32" spans="1:38" x14ac:dyDescent="0.25">
      <c r="B32" s="38" t="e">
        <f t="array" ref="B32">INDEX($L$3:$L$18, MATCH(0, COUNTIF($B$30:B31, $L$3:$L$18), 0))</f>
        <v>#N/A</v>
      </c>
      <c r="C32" s="74">
        <f t="shared" ref="C32:C37" si="17">SUMIFS($K$3:$K$18,$L$3:$L$18,B32)</f>
        <v>0</v>
      </c>
      <c r="D32" s="60"/>
      <c r="E32" s="38">
        <f t="shared" ref="E32:E37" si="18">COUNTIFS($L$3:$L$18,B32)</f>
        <v>0</v>
      </c>
      <c r="G32" s="71" t="s">
        <v>77</v>
      </c>
      <c r="H32" s="30"/>
      <c r="I32" s="30"/>
      <c r="J32" s="30"/>
      <c r="K32" s="30"/>
      <c r="L32" s="30"/>
      <c r="M32" s="39"/>
      <c r="N32" s="39"/>
      <c r="O32" s="39"/>
      <c r="P32" s="30"/>
      <c r="Q32" s="30"/>
      <c r="R32" s="30"/>
      <c r="S32" s="30"/>
      <c r="T32" s="27"/>
    </row>
    <row r="33" spans="2:20" x14ac:dyDescent="0.25">
      <c r="B33" s="38" t="e">
        <f t="array" ref="B33">INDEX($L$3:$L$18, MATCH(0, COUNTIF($B$30:B32, $L$3:$L$18), 0))</f>
        <v>#N/A</v>
      </c>
      <c r="C33" s="74">
        <f t="shared" si="17"/>
        <v>0</v>
      </c>
      <c r="D33" s="60"/>
      <c r="E33" s="38">
        <f t="shared" si="18"/>
        <v>0</v>
      </c>
    </row>
    <row r="34" spans="2:20" x14ac:dyDescent="0.25">
      <c r="B34" s="38" t="e">
        <f t="array" ref="B34">INDEX($L$3:$L$18, MATCH(0, COUNTIF($B$30:B33, $L$3:$L$18), 0))</f>
        <v>#N/A</v>
      </c>
      <c r="C34" s="74">
        <f t="shared" si="17"/>
        <v>0</v>
      </c>
      <c r="D34" s="60"/>
      <c r="E34" s="38">
        <f t="shared" si="18"/>
        <v>0</v>
      </c>
    </row>
    <row r="35" spans="2:20" x14ac:dyDescent="0.25">
      <c r="B35" s="38" t="e">
        <f t="array" ref="B35">INDEX($L$3:$L$18, MATCH(0, COUNTIF($B$30:B34, $L$3:$L$18), 0))</f>
        <v>#N/A</v>
      </c>
      <c r="C35" s="74">
        <f t="shared" si="17"/>
        <v>0</v>
      </c>
      <c r="D35" s="61"/>
      <c r="E35" s="38">
        <f t="shared" si="18"/>
        <v>0</v>
      </c>
      <c r="G35" s="41" t="s">
        <v>28</v>
      </c>
      <c r="H35" s="30"/>
      <c r="I35" s="30"/>
      <c r="J35" s="30"/>
      <c r="K35" s="30"/>
      <c r="L35" s="30"/>
      <c r="M35" s="39"/>
      <c r="N35" s="39"/>
      <c r="O35" s="39"/>
      <c r="P35" s="30"/>
      <c r="Q35" s="30"/>
      <c r="R35" s="30"/>
      <c r="S35" s="30"/>
      <c r="T35" s="27"/>
    </row>
    <row r="36" spans="2:20" x14ac:dyDescent="0.25">
      <c r="B36" s="38" t="e">
        <f t="array" ref="B36">INDEX($L$3:$L$18, MATCH(0, COUNTIF($B$30:B35, $L$3:$L$18), 0))</f>
        <v>#N/A</v>
      </c>
      <c r="C36" s="74">
        <f t="shared" si="17"/>
        <v>0</v>
      </c>
      <c r="D36" s="61"/>
      <c r="E36" s="38">
        <f t="shared" si="18"/>
        <v>0</v>
      </c>
      <c r="G36" s="30"/>
      <c r="H36" s="30"/>
      <c r="I36" s="30"/>
      <c r="J36" s="30"/>
      <c r="K36" s="30"/>
      <c r="L36" s="30"/>
      <c r="M36" s="42" t="s">
        <v>50</v>
      </c>
      <c r="N36" s="43" t="s">
        <v>51</v>
      </c>
      <c r="O36" s="39"/>
      <c r="P36" s="30"/>
      <c r="Q36" s="44" t="s">
        <v>52</v>
      </c>
      <c r="R36" s="30"/>
      <c r="S36" s="27"/>
      <c r="T36" s="27"/>
    </row>
    <row r="37" spans="2:20" x14ac:dyDescent="0.25">
      <c r="B37" s="38" t="e">
        <f t="array" ref="B37">INDEX($L$3:$L$18, MATCH(0, COUNTIF($B$30:B36, $L$3:$L$18), 0))</f>
        <v>#N/A</v>
      </c>
      <c r="C37" s="74">
        <f t="shared" si="17"/>
        <v>0</v>
      </c>
      <c r="D37" s="61"/>
      <c r="E37" s="38">
        <f t="shared" si="18"/>
        <v>0</v>
      </c>
      <c r="G37" s="30"/>
      <c r="H37" s="30"/>
      <c r="I37" s="30"/>
      <c r="J37" s="30"/>
      <c r="K37" s="30"/>
      <c r="L37" s="30"/>
      <c r="M37" s="45" t="s">
        <v>29</v>
      </c>
      <c r="N37" s="46" t="s">
        <v>49</v>
      </c>
      <c r="O37" s="39"/>
      <c r="P37" s="30"/>
      <c r="Q37" s="47" t="s">
        <v>29</v>
      </c>
      <c r="R37" s="48" t="s">
        <v>49</v>
      </c>
      <c r="S37" s="30"/>
      <c r="T37" s="27"/>
    </row>
    <row r="38" spans="2:20" x14ac:dyDescent="0.25">
      <c r="B38" s="49" t="str">
        <f t="array" ref="B38">INDEX($Q$3:$Q$18, MATCH(0, COUNTIF($B$37:B37, $Q$3:$Q$18), 0))</f>
        <v/>
      </c>
      <c r="C38" s="75">
        <f>SUMIFS($P$3:$P$18,$Q$3:$Q$18,B38)</f>
        <v>0</v>
      </c>
      <c r="D38" s="62"/>
      <c r="E38" s="49">
        <f>COUNTIFS($Q$3:$Q$18,B38)</f>
        <v>16</v>
      </c>
      <c r="G38" s="50" t="s">
        <v>31</v>
      </c>
      <c r="H38" s="30"/>
      <c r="I38" s="30"/>
      <c r="J38" s="30"/>
      <c r="K38" s="30"/>
      <c r="L38" s="30" t="s">
        <v>37</v>
      </c>
      <c r="M38" s="51" t="s">
        <v>30</v>
      </c>
      <c r="N38" s="39" t="s">
        <v>43</v>
      </c>
      <c r="O38" s="39"/>
      <c r="P38" s="30"/>
      <c r="Q38" s="52" t="s">
        <v>53</v>
      </c>
      <c r="R38" s="53" t="s">
        <v>59</v>
      </c>
      <c r="S38" s="30"/>
      <c r="T38" s="27"/>
    </row>
    <row r="39" spans="2:20" x14ac:dyDescent="0.25">
      <c r="B39" s="49" t="e">
        <f t="array" ref="B39">INDEX($Q$3:$Q$18, MATCH(0, COUNTIF($B$37:B38, $Q$3:$Q$18), 0))</f>
        <v>#N/A</v>
      </c>
      <c r="C39" s="75">
        <f t="shared" ref="C39:C44" si="19">SUMIFS($P$3:$P$18,$Q$3:$Q$18,B39)</f>
        <v>0</v>
      </c>
      <c r="D39" s="62"/>
      <c r="E39" s="49">
        <f t="shared" ref="E39:E44" si="20">COUNTIFS($Q$3:$Q$18,B39)</f>
        <v>0</v>
      </c>
      <c r="G39" s="50" t="s">
        <v>32</v>
      </c>
      <c r="H39" s="30"/>
      <c r="I39" s="30"/>
      <c r="J39" s="30"/>
      <c r="K39" s="30"/>
      <c r="L39" s="30" t="s">
        <v>37</v>
      </c>
      <c r="M39" s="51" t="s">
        <v>38</v>
      </c>
      <c r="N39" s="39" t="s">
        <v>44</v>
      </c>
      <c r="O39" s="39"/>
      <c r="P39" s="30"/>
      <c r="Q39" s="52" t="s">
        <v>54</v>
      </c>
      <c r="R39" s="53" t="s">
        <v>60</v>
      </c>
      <c r="S39" s="30"/>
      <c r="T39" s="27"/>
    </row>
    <row r="40" spans="2:20" x14ac:dyDescent="0.25">
      <c r="B40" s="49" t="e">
        <f t="array" ref="B40">INDEX($Q$3:$Q$18, MATCH(0, COUNTIF($B$37:B39, $Q$3:$Q$18), 0))</f>
        <v>#N/A</v>
      </c>
      <c r="C40" s="75">
        <f t="shared" si="19"/>
        <v>0</v>
      </c>
      <c r="D40" s="62"/>
      <c r="E40" s="49">
        <f t="shared" si="20"/>
        <v>0</v>
      </c>
      <c r="G40" s="50" t="s">
        <v>33</v>
      </c>
      <c r="H40" s="30"/>
      <c r="I40" s="30"/>
      <c r="J40" s="30"/>
      <c r="K40" s="30"/>
      <c r="L40" s="30" t="s">
        <v>37</v>
      </c>
      <c r="M40" s="51" t="s">
        <v>39</v>
      </c>
      <c r="N40" s="39" t="s">
        <v>45</v>
      </c>
      <c r="O40" s="39"/>
      <c r="P40" s="30"/>
      <c r="Q40" s="52" t="s">
        <v>55</v>
      </c>
      <c r="R40" s="53" t="s">
        <v>61</v>
      </c>
      <c r="S40" s="30"/>
      <c r="T40" s="27"/>
    </row>
    <row r="41" spans="2:20" x14ac:dyDescent="0.25">
      <c r="B41" s="49" t="e">
        <f t="array" ref="B41">INDEX($Q$3:$Q$18, MATCH(0, COUNTIF($B$37:B40, $Q$3:$Q$18), 0))</f>
        <v>#N/A</v>
      </c>
      <c r="C41" s="75">
        <f t="shared" si="19"/>
        <v>0</v>
      </c>
      <c r="D41" s="62"/>
      <c r="E41" s="49">
        <f t="shared" si="20"/>
        <v>0</v>
      </c>
      <c r="G41" s="50" t="s">
        <v>34</v>
      </c>
      <c r="H41" s="30"/>
      <c r="I41" s="30"/>
      <c r="J41" s="30"/>
      <c r="K41" s="30"/>
      <c r="L41" s="30" t="s">
        <v>37</v>
      </c>
      <c r="M41" s="51" t="s">
        <v>40</v>
      </c>
      <c r="N41" s="39" t="s">
        <v>46</v>
      </c>
      <c r="O41" s="39"/>
      <c r="P41" s="30"/>
      <c r="Q41" s="52" t="s">
        <v>56</v>
      </c>
      <c r="R41" s="53" t="s">
        <v>62</v>
      </c>
      <c r="S41" s="30"/>
      <c r="T41" s="27"/>
    </row>
    <row r="42" spans="2:20" x14ac:dyDescent="0.25">
      <c r="B42" s="49" t="e">
        <f t="array" ref="B42">INDEX($Q$3:$Q$18, MATCH(0, COUNTIF($B$37:B41, $Q$3:$Q$18), 0))</f>
        <v>#N/A</v>
      </c>
      <c r="C42" s="75">
        <f t="shared" si="19"/>
        <v>0</v>
      </c>
      <c r="D42" s="62"/>
      <c r="E42" s="49">
        <f t="shared" si="20"/>
        <v>0</v>
      </c>
      <c r="G42" s="50" t="s">
        <v>35</v>
      </c>
      <c r="H42" s="30"/>
      <c r="I42" s="30"/>
      <c r="J42" s="30"/>
      <c r="K42" s="30"/>
      <c r="L42" s="30" t="s">
        <v>37</v>
      </c>
      <c r="M42" s="51" t="s">
        <v>41</v>
      </c>
      <c r="N42" s="39" t="s">
        <v>47</v>
      </c>
      <c r="O42" s="39"/>
      <c r="P42" s="30"/>
      <c r="Q42" s="52" t="s">
        <v>57</v>
      </c>
      <c r="R42" s="53" t="s">
        <v>63</v>
      </c>
      <c r="S42" s="30"/>
      <c r="T42" s="27"/>
    </row>
    <row r="43" spans="2:20" x14ac:dyDescent="0.25">
      <c r="B43" s="49" t="e">
        <f t="array" ref="B43">INDEX($Q$3:$Q$18, MATCH(0, COUNTIF($B$37:B42, $Q$3:$Q$18), 0))</f>
        <v>#N/A</v>
      </c>
      <c r="C43" s="75">
        <f t="shared" si="19"/>
        <v>0</v>
      </c>
      <c r="D43" s="63"/>
      <c r="E43" s="49">
        <f t="shared" si="20"/>
        <v>0</v>
      </c>
      <c r="G43" s="50" t="s">
        <v>36</v>
      </c>
      <c r="H43" s="30"/>
      <c r="I43" s="30"/>
      <c r="J43" s="30"/>
      <c r="K43" s="30"/>
      <c r="L43" s="30" t="s">
        <v>37</v>
      </c>
      <c r="M43" s="51" t="s">
        <v>42</v>
      </c>
      <c r="N43" s="39" t="s">
        <v>48</v>
      </c>
      <c r="O43" s="39"/>
      <c r="P43" s="30"/>
      <c r="Q43" s="52" t="s">
        <v>58</v>
      </c>
      <c r="R43" s="53" t="s">
        <v>64</v>
      </c>
      <c r="S43" s="30"/>
      <c r="T43" s="27"/>
    </row>
    <row r="44" spans="2:20" x14ac:dyDescent="0.25">
      <c r="B44" s="49" t="e">
        <f t="array" ref="B44">INDEX($Q$3:$Q$18, MATCH(0, COUNTIF($B$37:B43, $Q$3:$Q$18), 0))</f>
        <v>#N/A</v>
      </c>
      <c r="C44" s="75">
        <f t="shared" si="19"/>
        <v>0</v>
      </c>
      <c r="D44" s="63"/>
      <c r="E44" s="49">
        <f t="shared" si="20"/>
        <v>0</v>
      </c>
      <c r="G44" s="30"/>
      <c r="H44" s="30"/>
      <c r="I44" s="30"/>
      <c r="J44" s="30"/>
      <c r="K44" s="30"/>
      <c r="L44" s="30"/>
      <c r="M44" s="39"/>
      <c r="N44" s="39"/>
      <c r="O44" s="39"/>
      <c r="P44" s="30"/>
      <c r="Q44" s="30"/>
      <c r="R44" s="30"/>
      <c r="S44" s="30"/>
      <c r="T44" s="27"/>
    </row>
    <row r="45" spans="2:20" x14ac:dyDescent="0.25">
      <c r="B45" s="54" t="str">
        <f t="array" ref="B45">INDEX($S$3:$S$18, MATCH(0, COUNTIF($B$44:B44, $S$3:$S$18), 0))</f>
        <v/>
      </c>
      <c r="C45" s="76">
        <f>SUMIFS($R$3:$R$18,$S$3:$S$18,B45)</f>
        <v>0</v>
      </c>
      <c r="D45" s="64"/>
      <c r="E45" s="54">
        <f>COUNTIFS($S$3:$S$18,B45)</f>
        <v>16</v>
      </c>
      <c r="G45" s="30"/>
      <c r="H45" s="30"/>
      <c r="I45" s="30"/>
      <c r="J45" s="30"/>
      <c r="K45" s="30"/>
      <c r="L45" s="30"/>
      <c r="M45" s="39"/>
      <c r="N45" s="39"/>
      <c r="O45" s="39"/>
      <c r="P45" s="30"/>
      <c r="Q45" s="30"/>
      <c r="R45" s="30"/>
      <c r="S45" s="30"/>
      <c r="T45" s="27"/>
    </row>
    <row r="46" spans="2:20" x14ac:dyDescent="0.25">
      <c r="B46" s="54" t="e">
        <f t="array" ref="B46">INDEX($S$3:$S$18, MATCH(0, COUNTIF($B$44:B45, $S$3:$S$18), 0))</f>
        <v>#N/A</v>
      </c>
      <c r="C46" s="76">
        <f t="shared" ref="C46:C51" si="21">SUMIFS($R$3:$R$18,$S$3:$S$18,B46)</f>
        <v>0</v>
      </c>
      <c r="D46" s="64"/>
      <c r="E46" s="54">
        <f t="shared" ref="E46:E51" si="22">COUNTIFS($S$3:$S$18,B46)</f>
        <v>0</v>
      </c>
    </row>
    <row r="47" spans="2:20" x14ac:dyDescent="0.25">
      <c r="B47" s="54" t="e">
        <f t="array" ref="B47">INDEX($S$3:$S$18, MATCH(0, COUNTIF($B$44:B46, $S$3:$S$18), 0))</f>
        <v>#N/A</v>
      </c>
      <c r="C47" s="76">
        <f t="shared" si="21"/>
        <v>0</v>
      </c>
      <c r="D47" s="64"/>
      <c r="E47" s="54">
        <f t="shared" si="22"/>
        <v>0</v>
      </c>
    </row>
    <row r="48" spans="2:20" x14ac:dyDescent="0.25">
      <c r="B48" s="54" t="e">
        <f t="array" ref="B48">INDEX($S$3:$S$18, MATCH(0, COUNTIF($B$44:B47, $S$3:$S$18), 0))</f>
        <v>#N/A</v>
      </c>
      <c r="C48" s="76">
        <f t="shared" si="21"/>
        <v>0</v>
      </c>
      <c r="D48" s="64"/>
      <c r="E48" s="54">
        <f t="shared" si="22"/>
        <v>0</v>
      </c>
    </row>
    <row r="49" spans="2:12" x14ac:dyDescent="0.25">
      <c r="B49" s="54" t="e">
        <f t="array" ref="B49">INDEX($S$3:$S$18, MATCH(0, COUNTIF($B$44:B48, $S$3:$S$18), 0))</f>
        <v>#N/A</v>
      </c>
      <c r="C49" s="76">
        <f t="shared" si="21"/>
        <v>0</v>
      </c>
      <c r="D49" s="64"/>
      <c r="E49" s="54">
        <f t="shared" si="22"/>
        <v>0</v>
      </c>
    </row>
    <row r="50" spans="2:12" x14ac:dyDescent="0.25">
      <c r="B50" s="54" t="e">
        <f t="array" ref="B50">INDEX($S$3:$S$18, MATCH(0, COUNTIF($B$44:B49, $S$3:$S$18), 0))</f>
        <v>#N/A</v>
      </c>
      <c r="C50" s="76">
        <f t="shared" si="21"/>
        <v>0</v>
      </c>
      <c r="D50" s="64"/>
      <c r="E50" s="54">
        <f t="shared" si="22"/>
        <v>0</v>
      </c>
    </row>
    <row r="51" spans="2:12" x14ac:dyDescent="0.25">
      <c r="B51" s="54" t="e">
        <f t="array" ref="B51">INDEX($S$3:$S$18, MATCH(0, COUNTIF($B$44:B50, $S$3:$S$18), 0))</f>
        <v>#N/A</v>
      </c>
      <c r="C51" s="76">
        <f t="shared" si="21"/>
        <v>0</v>
      </c>
      <c r="D51" s="64"/>
      <c r="E51" s="54">
        <f t="shared" si="22"/>
        <v>0</v>
      </c>
    </row>
    <row r="52" spans="2:12" x14ac:dyDescent="0.25">
      <c r="D52" s="11"/>
      <c r="E52" s="11"/>
    </row>
    <row r="54" spans="2:12" x14ac:dyDescent="0.25">
      <c r="D54" s="68" t="s">
        <v>83</v>
      </c>
      <c r="E54" s="65"/>
      <c r="F54" s="65"/>
      <c r="G54" s="65"/>
      <c r="H54" s="65"/>
      <c r="I54" s="65"/>
      <c r="J54" s="65"/>
      <c r="K54" s="65"/>
      <c r="L54" s="65"/>
    </row>
    <row r="56" spans="2:12" x14ac:dyDescent="0.25">
      <c r="B56" s="27" t="s">
        <v>81</v>
      </c>
      <c r="C56" s="27"/>
      <c r="D56" s="30"/>
      <c r="E56" s="30"/>
      <c r="F56" s="30"/>
      <c r="G56" s="30"/>
      <c r="H56" s="30"/>
      <c r="I56" s="30"/>
      <c r="J56" s="30"/>
    </row>
    <row r="58" spans="2:12" x14ac:dyDescent="0.25">
      <c r="D58" s="11"/>
    </row>
    <row r="60" spans="2:12" x14ac:dyDescent="0.25">
      <c r="D60" s="68" t="s">
        <v>70</v>
      </c>
      <c r="E60" s="65"/>
      <c r="F60" s="65"/>
      <c r="G60" s="65"/>
      <c r="H60" s="65"/>
      <c r="I60" s="65"/>
      <c r="J60" s="65"/>
      <c r="K60" s="65"/>
      <c r="L60" s="65"/>
    </row>
    <row r="62" spans="2:12" x14ac:dyDescent="0.25">
      <c r="B62" s="27" t="s">
        <v>78</v>
      </c>
      <c r="C62" s="78"/>
      <c r="D62" s="30"/>
      <c r="E62" s="30"/>
      <c r="F62" s="30"/>
      <c r="G62" s="30"/>
      <c r="H62" s="30"/>
      <c r="I62" s="30"/>
      <c r="J62" s="30"/>
    </row>
    <row r="63" spans="2:12" x14ac:dyDescent="0.25">
      <c r="B63" s="27" t="s">
        <v>79</v>
      </c>
      <c r="C63" s="27"/>
      <c r="D63" s="30"/>
      <c r="E63" s="30"/>
      <c r="F63" s="30"/>
      <c r="G63" s="30"/>
      <c r="H63" s="30"/>
      <c r="I63" s="30"/>
      <c r="J63" s="30"/>
    </row>
    <row r="64" spans="2:12" x14ac:dyDescent="0.25">
      <c r="B64" s="27" t="s">
        <v>80</v>
      </c>
      <c r="C64" s="27"/>
      <c r="D64" s="30"/>
      <c r="E64" s="30"/>
      <c r="F64" s="30"/>
      <c r="G64" s="30"/>
      <c r="H64" s="30"/>
      <c r="I64" s="30"/>
      <c r="J64" s="30"/>
    </row>
  </sheetData>
  <sheetProtection password="DF09" sheet="1" objects="1" scenarios="1" selectLockedCells="1"/>
  <dataValidations count="1">
    <dataValidation type="list" allowBlank="1" showInputMessage="1" showErrorMessage="1" sqref="C3:C18">
      <formula1>$Z$2:$Z$12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heckBox21">
          <controlPr autoLine="0" linkedCell="$F$3" r:id="rId5">
            <anchor moveWithCells="1">
              <from>
                <xdr:col>5</xdr:col>
                <xdr:colOff>285750</xdr:colOff>
                <xdr:row>2</xdr:row>
                <xdr:rowOff>28575</xdr:rowOff>
              </from>
              <to>
                <xdr:col>5</xdr:col>
                <xdr:colOff>447675</xdr:colOff>
                <xdr:row>2</xdr:row>
                <xdr:rowOff>180975</xdr:rowOff>
              </to>
            </anchor>
          </controlPr>
        </control>
      </mc:Choice>
      <mc:Fallback>
        <control shapeId="1026" r:id="rId4" name="CheckBox21"/>
      </mc:Fallback>
    </mc:AlternateContent>
    <mc:AlternateContent xmlns:mc="http://schemas.openxmlformats.org/markup-compatibility/2006">
      <mc:Choice Requires="x14">
        <control shapeId="1027" r:id="rId6" name="CheckBox22">
          <controlPr autoLine="0" linkedCell="$F$4" r:id="rId5">
            <anchor moveWithCells="1">
              <from>
                <xdr:col>5</xdr:col>
                <xdr:colOff>285750</xdr:colOff>
                <xdr:row>3</xdr:row>
                <xdr:rowOff>28575</xdr:rowOff>
              </from>
              <to>
                <xdr:col>5</xdr:col>
                <xdr:colOff>447675</xdr:colOff>
                <xdr:row>3</xdr:row>
                <xdr:rowOff>180975</xdr:rowOff>
              </to>
            </anchor>
          </controlPr>
        </control>
      </mc:Choice>
      <mc:Fallback>
        <control shapeId="1027" r:id="rId6" name="CheckBox22"/>
      </mc:Fallback>
    </mc:AlternateContent>
    <mc:AlternateContent xmlns:mc="http://schemas.openxmlformats.org/markup-compatibility/2006">
      <mc:Choice Requires="x14">
        <control shapeId="1028" r:id="rId7" name="CheckBox23">
          <controlPr autoLine="0" linkedCell="$F$5" r:id="rId5">
            <anchor moveWithCells="1">
              <from>
                <xdr:col>5</xdr:col>
                <xdr:colOff>285750</xdr:colOff>
                <xdr:row>4</xdr:row>
                <xdr:rowOff>28575</xdr:rowOff>
              </from>
              <to>
                <xdr:col>5</xdr:col>
                <xdr:colOff>447675</xdr:colOff>
                <xdr:row>4</xdr:row>
                <xdr:rowOff>180975</xdr:rowOff>
              </to>
            </anchor>
          </controlPr>
        </control>
      </mc:Choice>
      <mc:Fallback>
        <control shapeId="1028" r:id="rId7" name="CheckBox23"/>
      </mc:Fallback>
    </mc:AlternateContent>
    <mc:AlternateContent xmlns:mc="http://schemas.openxmlformats.org/markup-compatibility/2006">
      <mc:Choice Requires="x14">
        <control shapeId="1029" r:id="rId8" name="CheckBox24">
          <controlPr autoLine="0" linkedCell="$F$6" r:id="rId5">
            <anchor moveWithCells="1">
              <from>
                <xdr:col>5</xdr:col>
                <xdr:colOff>285750</xdr:colOff>
                <xdr:row>5</xdr:row>
                <xdr:rowOff>28575</xdr:rowOff>
              </from>
              <to>
                <xdr:col>5</xdr:col>
                <xdr:colOff>447675</xdr:colOff>
                <xdr:row>5</xdr:row>
                <xdr:rowOff>180975</xdr:rowOff>
              </to>
            </anchor>
          </controlPr>
        </control>
      </mc:Choice>
      <mc:Fallback>
        <control shapeId="1029" r:id="rId8" name="CheckBox24"/>
      </mc:Fallback>
    </mc:AlternateContent>
    <mc:AlternateContent xmlns:mc="http://schemas.openxmlformats.org/markup-compatibility/2006">
      <mc:Choice Requires="x14">
        <control shapeId="1030" r:id="rId9" name="CheckBox25">
          <controlPr autoLine="0" linkedCell="$F$7" r:id="rId5">
            <anchor moveWithCells="1">
              <from>
                <xdr:col>5</xdr:col>
                <xdr:colOff>285750</xdr:colOff>
                <xdr:row>6</xdr:row>
                <xdr:rowOff>28575</xdr:rowOff>
              </from>
              <to>
                <xdr:col>5</xdr:col>
                <xdr:colOff>447675</xdr:colOff>
                <xdr:row>6</xdr:row>
                <xdr:rowOff>180975</xdr:rowOff>
              </to>
            </anchor>
          </controlPr>
        </control>
      </mc:Choice>
      <mc:Fallback>
        <control shapeId="1030" r:id="rId9" name="CheckBox25"/>
      </mc:Fallback>
    </mc:AlternateContent>
    <mc:AlternateContent xmlns:mc="http://schemas.openxmlformats.org/markup-compatibility/2006">
      <mc:Choice Requires="x14">
        <control shapeId="1031" r:id="rId10" name="CheckBox26">
          <controlPr autoLine="0" linkedCell="$F$8" r:id="rId5">
            <anchor moveWithCells="1">
              <from>
                <xdr:col>5</xdr:col>
                <xdr:colOff>285750</xdr:colOff>
                <xdr:row>7</xdr:row>
                <xdr:rowOff>28575</xdr:rowOff>
              </from>
              <to>
                <xdr:col>5</xdr:col>
                <xdr:colOff>447675</xdr:colOff>
                <xdr:row>7</xdr:row>
                <xdr:rowOff>180975</xdr:rowOff>
              </to>
            </anchor>
          </controlPr>
        </control>
      </mc:Choice>
      <mc:Fallback>
        <control shapeId="1031" r:id="rId10" name="CheckBox26"/>
      </mc:Fallback>
    </mc:AlternateContent>
    <mc:AlternateContent xmlns:mc="http://schemas.openxmlformats.org/markup-compatibility/2006">
      <mc:Choice Requires="x14">
        <control shapeId="1032" r:id="rId11" name="CheckBox27">
          <controlPr autoLine="0" linkedCell="$F$9" r:id="rId5">
            <anchor moveWithCells="1">
              <from>
                <xdr:col>5</xdr:col>
                <xdr:colOff>285750</xdr:colOff>
                <xdr:row>8</xdr:row>
                <xdr:rowOff>28575</xdr:rowOff>
              </from>
              <to>
                <xdr:col>5</xdr:col>
                <xdr:colOff>447675</xdr:colOff>
                <xdr:row>8</xdr:row>
                <xdr:rowOff>180975</xdr:rowOff>
              </to>
            </anchor>
          </controlPr>
        </control>
      </mc:Choice>
      <mc:Fallback>
        <control shapeId="1032" r:id="rId11" name="CheckBox27"/>
      </mc:Fallback>
    </mc:AlternateContent>
    <mc:AlternateContent xmlns:mc="http://schemas.openxmlformats.org/markup-compatibility/2006">
      <mc:Choice Requires="x14">
        <control shapeId="1033" r:id="rId12" name="CheckBox28">
          <controlPr autoLine="0" linkedCell="$F$10" r:id="rId5">
            <anchor moveWithCells="1">
              <from>
                <xdr:col>5</xdr:col>
                <xdr:colOff>285750</xdr:colOff>
                <xdr:row>9</xdr:row>
                <xdr:rowOff>28575</xdr:rowOff>
              </from>
              <to>
                <xdr:col>5</xdr:col>
                <xdr:colOff>447675</xdr:colOff>
                <xdr:row>9</xdr:row>
                <xdr:rowOff>180975</xdr:rowOff>
              </to>
            </anchor>
          </controlPr>
        </control>
      </mc:Choice>
      <mc:Fallback>
        <control shapeId="1033" r:id="rId12" name="CheckBox28"/>
      </mc:Fallback>
    </mc:AlternateContent>
    <mc:AlternateContent xmlns:mc="http://schemas.openxmlformats.org/markup-compatibility/2006">
      <mc:Choice Requires="x14">
        <control shapeId="1034" r:id="rId13" name="CheckBox29">
          <controlPr autoLine="0" linkedCell="$F$11" r:id="rId5">
            <anchor moveWithCells="1">
              <from>
                <xdr:col>5</xdr:col>
                <xdr:colOff>285750</xdr:colOff>
                <xdr:row>10</xdr:row>
                <xdr:rowOff>28575</xdr:rowOff>
              </from>
              <to>
                <xdr:col>5</xdr:col>
                <xdr:colOff>447675</xdr:colOff>
                <xdr:row>10</xdr:row>
                <xdr:rowOff>180975</xdr:rowOff>
              </to>
            </anchor>
          </controlPr>
        </control>
      </mc:Choice>
      <mc:Fallback>
        <control shapeId="1034" r:id="rId13" name="CheckBox29"/>
      </mc:Fallback>
    </mc:AlternateContent>
    <mc:AlternateContent xmlns:mc="http://schemas.openxmlformats.org/markup-compatibility/2006">
      <mc:Choice Requires="x14">
        <control shapeId="1035" r:id="rId14" name="CheckBox210">
          <controlPr autoLine="0" linkedCell="$F$12" r:id="rId5">
            <anchor moveWithCells="1">
              <from>
                <xdr:col>5</xdr:col>
                <xdr:colOff>285750</xdr:colOff>
                <xdr:row>11</xdr:row>
                <xdr:rowOff>28575</xdr:rowOff>
              </from>
              <to>
                <xdr:col>5</xdr:col>
                <xdr:colOff>447675</xdr:colOff>
                <xdr:row>11</xdr:row>
                <xdr:rowOff>180975</xdr:rowOff>
              </to>
            </anchor>
          </controlPr>
        </control>
      </mc:Choice>
      <mc:Fallback>
        <control shapeId="1035" r:id="rId14" name="CheckBox210"/>
      </mc:Fallback>
    </mc:AlternateContent>
    <mc:AlternateContent xmlns:mc="http://schemas.openxmlformats.org/markup-compatibility/2006">
      <mc:Choice Requires="x14">
        <control shapeId="1036" r:id="rId15" name="CheckBox211">
          <controlPr autoLine="0" linkedCell="$F$13" r:id="rId5">
            <anchor moveWithCells="1">
              <from>
                <xdr:col>5</xdr:col>
                <xdr:colOff>285750</xdr:colOff>
                <xdr:row>12</xdr:row>
                <xdr:rowOff>28575</xdr:rowOff>
              </from>
              <to>
                <xdr:col>5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1036" r:id="rId15" name="CheckBox211"/>
      </mc:Fallback>
    </mc:AlternateContent>
    <mc:AlternateContent xmlns:mc="http://schemas.openxmlformats.org/markup-compatibility/2006">
      <mc:Choice Requires="x14">
        <control shapeId="1037" r:id="rId16" name="CheckBox212">
          <controlPr autoLine="0" linkedCell="$F$14" r:id="rId5">
            <anchor moveWithCells="1">
              <from>
                <xdr:col>5</xdr:col>
                <xdr:colOff>285750</xdr:colOff>
                <xdr:row>13</xdr:row>
                <xdr:rowOff>28575</xdr:rowOff>
              </from>
              <to>
                <xdr:col>5</xdr:col>
                <xdr:colOff>447675</xdr:colOff>
                <xdr:row>13</xdr:row>
                <xdr:rowOff>180975</xdr:rowOff>
              </to>
            </anchor>
          </controlPr>
        </control>
      </mc:Choice>
      <mc:Fallback>
        <control shapeId="1037" r:id="rId16" name="CheckBox212"/>
      </mc:Fallback>
    </mc:AlternateContent>
    <mc:AlternateContent xmlns:mc="http://schemas.openxmlformats.org/markup-compatibility/2006">
      <mc:Choice Requires="x14">
        <control shapeId="1038" r:id="rId17" name="CheckBox213">
          <controlPr autoLine="0" linkedCell="$F$15" r:id="rId18">
            <anchor moveWithCells="1">
              <from>
                <xdr:col>5</xdr:col>
                <xdr:colOff>276225</xdr:colOff>
                <xdr:row>14</xdr:row>
                <xdr:rowOff>28575</xdr:rowOff>
              </from>
              <to>
                <xdr:col>5</xdr:col>
                <xdr:colOff>447675</xdr:colOff>
                <xdr:row>14</xdr:row>
                <xdr:rowOff>180975</xdr:rowOff>
              </to>
            </anchor>
          </controlPr>
        </control>
      </mc:Choice>
      <mc:Fallback>
        <control shapeId="1038" r:id="rId17" name="CheckBox213"/>
      </mc:Fallback>
    </mc:AlternateContent>
    <mc:AlternateContent xmlns:mc="http://schemas.openxmlformats.org/markup-compatibility/2006">
      <mc:Choice Requires="x14">
        <control shapeId="1039" r:id="rId19" name="CheckBox214">
          <controlPr autoLine="0" linkedCell="$F$16" r:id="rId18">
            <anchor moveWithCells="1">
              <from>
                <xdr:col>5</xdr:col>
                <xdr:colOff>276225</xdr:colOff>
                <xdr:row>15</xdr:row>
                <xdr:rowOff>28575</xdr:rowOff>
              </from>
              <to>
                <xdr:col>5</xdr:col>
                <xdr:colOff>447675</xdr:colOff>
                <xdr:row>15</xdr:row>
                <xdr:rowOff>180975</xdr:rowOff>
              </to>
            </anchor>
          </controlPr>
        </control>
      </mc:Choice>
      <mc:Fallback>
        <control shapeId="1039" r:id="rId19" name="CheckBox214"/>
      </mc:Fallback>
    </mc:AlternateContent>
    <mc:AlternateContent xmlns:mc="http://schemas.openxmlformats.org/markup-compatibility/2006">
      <mc:Choice Requires="x14">
        <control shapeId="1040" r:id="rId20" name="CheckBox215">
          <controlPr autoLine="0" linkedCell="$F$17" r:id="rId18">
            <anchor moveWithCells="1">
              <from>
                <xdr:col>5</xdr:col>
                <xdr:colOff>276225</xdr:colOff>
                <xdr:row>16</xdr:row>
                <xdr:rowOff>28575</xdr:rowOff>
              </from>
              <to>
                <xdr:col>5</xdr:col>
                <xdr:colOff>447675</xdr:colOff>
                <xdr:row>16</xdr:row>
                <xdr:rowOff>180975</xdr:rowOff>
              </to>
            </anchor>
          </controlPr>
        </control>
      </mc:Choice>
      <mc:Fallback>
        <control shapeId="1040" r:id="rId20" name="CheckBox215"/>
      </mc:Fallback>
    </mc:AlternateContent>
    <mc:AlternateContent xmlns:mc="http://schemas.openxmlformats.org/markup-compatibility/2006">
      <mc:Choice Requires="x14">
        <control shapeId="1041" r:id="rId21" name="CheckBox216">
          <controlPr autoLine="0" linkedCell="$F$18" r:id="rId18">
            <anchor moveWithCells="1">
              <from>
                <xdr:col>5</xdr:col>
                <xdr:colOff>276225</xdr:colOff>
                <xdr:row>17</xdr:row>
                <xdr:rowOff>28575</xdr:rowOff>
              </from>
              <to>
                <xdr:col>5</xdr:col>
                <xdr:colOff>447675</xdr:colOff>
                <xdr:row>17</xdr:row>
                <xdr:rowOff>180975</xdr:rowOff>
              </to>
            </anchor>
          </controlPr>
        </control>
      </mc:Choice>
      <mc:Fallback>
        <control shapeId="1041" r:id="rId21" name="CheckBox216"/>
      </mc:Fallback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CopyData">
            <anchor moveWithCells="1" sizeWithCells="1">
              <from>
                <xdr:col>1</xdr:col>
                <xdr:colOff>57150</xdr:colOff>
                <xdr:row>52</xdr:row>
                <xdr:rowOff>76200</xdr:rowOff>
              </from>
              <to>
                <xdr:col>2</xdr:col>
                <xdr:colOff>1238250</xdr:colOff>
                <xdr:row>54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3" name="Button 21">
          <controlPr defaultSize="0" print="0" autoFill="0" autoPict="0" macro="[0]!AttendancePerf">
            <anchor moveWithCells="1" sizeWithCells="1">
              <from>
                <xdr:col>1</xdr:col>
                <xdr:colOff>47625</xdr:colOff>
                <xdr:row>58</xdr:row>
                <xdr:rowOff>47625</xdr:rowOff>
              </from>
              <to>
                <xdr:col>2</xdr:col>
                <xdr:colOff>1228725</xdr:colOff>
                <xdr:row>60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2018-09-25T15:20:09Z</dcterms:modified>
</cp:coreProperties>
</file>